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43E9AE98-DAF2-4C72-8FDC-74A59ACAB906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IDEIO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7WSQbU1OMQIfbkSdrn5FL1+SXI3tjh9/pJYgw6b6FJo="/>
    </ext>
  </extLst>
</workbook>
</file>

<file path=xl/calcChain.xml><?xml version="1.0" encoding="utf-8"?>
<calcChain xmlns="http://schemas.openxmlformats.org/spreadsheetml/2006/main">
  <c r="AN23" i="1" l="1"/>
  <c r="AN21" i="1"/>
  <c r="AN19" i="1"/>
  <c r="AN17" i="1"/>
  <c r="AN15" i="1"/>
  <c r="AN13" i="1"/>
  <c r="AN11" i="1"/>
  <c r="AN9" i="1"/>
  <c r="AN24" i="1" l="1"/>
</calcChain>
</file>

<file path=xl/sharedStrings.xml><?xml version="1.0" encoding="utf-8"?>
<sst xmlns="http://schemas.openxmlformats.org/spreadsheetml/2006/main" count="399" uniqueCount="110">
  <si>
    <t>MAPA CURRICULAR IDEAL DE INGENIERÍA EN DATOS E INTELIGENCIA ORGANIZACIONAL PLAN 2021</t>
  </si>
  <si>
    <t>Elección libre</t>
  </si>
  <si>
    <t>CICLO 1</t>
  </si>
  <si>
    <t>DP0001 
Propedéutico de habilidades básicas de  lectura, estudio e investigación</t>
  </si>
  <si>
    <t>II0002
Propedéutico de matemáticas para ingeniería</t>
  </si>
  <si>
    <t>ID0103
Organización y diseño de computadoras</t>
  </si>
  <si>
    <t>ID0105
Algoritmos y estructura de datos</t>
  </si>
  <si>
    <t>DP0191
Taller de integración grupal y competencias comunicativas</t>
  </si>
  <si>
    <t>DP0194           Desarrollo de habilidades del pensamiento</t>
  </si>
  <si>
    <t xml:space="preserve">ELECCIÓN
LIBRE </t>
  </si>
  <si>
    <t xml:space="preserve">Inglés
</t>
  </si>
  <si>
    <t>Taller de expresión artística y deportiva</t>
  </si>
  <si>
    <t>ID0160
Pensamiento crítico para ingeniería</t>
  </si>
  <si>
    <t>B</t>
  </si>
  <si>
    <t>Cr</t>
  </si>
  <si>
    <t>S</t>
  </si>
  <si>
    <t>T</t>
  </si>
  <si>
    <t xml:space="preserve">E </t>
  </si>
  <si>
    <t xml:space="preserve"> </t>
  </si>
  <si>
    <t>E</t>
  </si>
  <si>
    <t>ID0106
Matemáticas discretas</t>
  </si>
  <si>
    <t>II0106
Cálculo Diferencial</t>
  </si>
  <si>
    <t>IT0161                Sistemas operativos POSIX</t>
  </si>
  <si>
    <t>ID0108
Física clásica</t>
  </si>
  <si>
    <t>ID0107
Diseño de patrones para datos estructurados</t>
  </si>
  <si>
    <t>DP0193
Taller de redacción profesional</t>
  </si>
  <si>
    <t>ID0161
Recursos de comunicación para la era digital</t>
  </si>
  <si>
    <t>M</t>
  </si>
  <si>
    <t>CICLO 2</t>
  </si>
  <si>
    <t>ID0104
Cálculo Integral</t>
  </si>
  <si>
    <t>II0322
Álgebra Lineal</t>
  </si>
  <si>
    <t>ID0207
Probabilidad y  Estadística</t>
  </si>
  <si>
    <t>ID0204
Bases de datos</t>
  </si>
  <si>
    <t>ID0208
Técnicas algorítmicas</t>
  </si>
  <si>
    <t>IT0210
Programación orientada a objetos</t>
  </si>
  <si>
    <t>DP0295                     Taller de formación en responsabilidad social y ambiental</t>
  </si>
  <si>
    <t>IL3422 
Liderazgo y equipos de trabajo</t>
  </si>
  <si>
    <t>ID0205
Geometría computacional</t>
  </si>
  <si>
    <t>IA0209
Ecuaciones diferenciales</t>
  </si>
  <si>
    <t>IL0204
Estadística analítica</t>
  </si>
  <si>
    <t>ID0265
Programación web</t>
  </si>
  <si>
    <t>DP0396
Identidad y cultura</t>
  </si>
  <si>
    <t>NI0423 
Planeación estratégica</t>
  </si>
  <si>
    <t>ID0262 
Contabilidad y costos para ingeniería</t>
  </si>
  <si>
    <t>Preespecialidad Innovación en TIC</t>
  </si>
  <si>
    <t>Preespecialidad Inteligencia Organizacional y de Negocios</t>
  </si>
  <si>
    <t>CICLO 3</t>
  </si>
  <si>
    <t>DP0498
Problemas de México</t>
  </si>
  <si>
    <t>Preespecialidad</t>
  </si>
  <si>
    <t>ID0309
Aprendizaje estadístico</t>
  </si>
  <si>
    <t>IT0263
Electrónica analógica</t>
  </si>
  <si>
    <t>ID0311
Aprendizaje profundo</t>
  </si>
  <si>
    <t>IT0425
Introducción a la inteligencia artificial</t>
  </si>
  <si>
    <t>DP0497 
Problemas del mundo contemporáneo</t>
  </si>
  <si>
    <t>Prácticas profesionales II</t>
  </si>
  <si>
    <t>Servicio Social</t>
  </si>
  <si>
    <t>ID3466 
Gobierno de datos y redes sociales</t>
  </si>
  <si>
    <t>ID3475
Programación de dispositivos móviles</t>
  </si>
  <si>
    <t>IL0414                      Taller de argumentación y técnicas de negociación</t>
  </si>
  <si>
    <t>IT0317
Diseño de Interfaces Humano-Máquina</t>
  </si>
  <si>
    <t>Movilidad I</t>
  </si>
  <si>
    <t>Movilidad II</t>
  </si>
  <si>
    <t>P</t>
  </si>
  <si>
    <t>IT0208
Electrónica digital</t>
  </si>
  <si>
    <t>ID0307
 Ingeniería de software</t>
  </si>
  <si>
    <t>ID3470 
Programación de aplicaciones de red</t>
  </si>
  <si>
    <t>ID3467 
Graficación por computadoras</t>
  </si>
  <si>
    <t>ID3468      Herramientas para la gestión de grandes volúmenes de datos</t>
  </si>
  <si>
    <t>ID3478 
Taller de herramientas para ciencia de datos</t>
  </si>
  <si>
    <t>ID3476
Algoritmos bioinspirados</t>
  </si>
  <si>
    <t>Movilidad III</t>
  </si>
  <si>
    <t>Movilidad IV</t>
  </si>
  <si>
    <t>CICLO 4</t>
  </si>
  <si>
    <t>ID0411
Cómputo de alto desempeño</t>
  </si>
  <si>
    <t>ID0415
Sistemas distribuidos</t>
  </si>
  <si>
    <t>ID0412
Métodos de desarrollo de software</t>
  </si>
  <si>
    <t>DP0499
Seminario de investigación</t>
  </si>
  <si>
    <t>Prácticas profesionales preespecialidad</t>
  </si>
  <si>
    <t>Métodos numéricos por computadora</t>
  </si>
  <si>
    <t>ID3471 
Realidad Virtual</t>
  </si>
  <si>
    <t>ID3477
Tópicos selectos en tecnologías exponenciales</t>
  </si>
  <si>
    <t>ID3415
Cómputo Ubicuo</t>
  </si>
  <si>
    <t>Movilidad V</t>
  </si>
  <si>
    <t>II0422
Taller de emprendedores</t>
  </si>
  <si>
    <t>IT0423    Administración de proyectos de desarrollo de software</t>
  </si>
  <si>
    <t>ID0414
Seguridad de datos</t>
  </si>
  <si>
    <t>IT0427
Proyecto terminal</t>
  </si>
  <si>
    <t>IT3472
Principios de automatización y robótica</t>
  </si>
  <si>
    <t>ID3473                  Tópicos selectos en Inteligencia Organizacional</t>
  </si>
  <si>
    <t xml:space="preserve"> NI3431
 Marketing en los negocios electrónicos</t>
  </si>
  <si>
    <t>Movilidad VI</t>
  </si>
  <si>
    <t>ID3469 
Internet de las cosas</t>
  </si>
  <si>
    <t>ID0413
Procesamiento de datos en la nube</t>
  </si>
  <si>
    <t>ID0308
Análisis de grandes volúmenes de datos</t>
  </si>
  <si>
    <t>ID0310
Minería de datos</t>
  </si>
  <si>
    <t>ID0263                Sistemas de planificación de recursos empresariales</t>
  </si>
  <si>
    <t>IT0264                        Introducción a los sistemas de información</t>
  </si>
  <si>
    <t>ID0264
Innovación disruptiva</t>
  </si>
  <si>
    <t>ID3472 
Tópicos selectos en ingeniería de datos</t>
  </si>
  <si>
    <t>ID3474 
Sistemas de información geográfica</t>
  </si>
  <si>
    <t>ID3419 
TIC para la salud</t>
  </si>
  <si>
    <t>ID3417
Diseño de juegos</t>
  </si>
  <si>
    <t>ID3416 
Diseño multimedia</t>
  </si>
  <si>
    <t>ID3418
TIC para la educación</t>
  </si>
  <si>
    <t>ID3421 
Gestión del conocimiento</t>
  </si>
  <si>
    <t>ID3422 
Negocios digitales</t>
  </si>
  <si>
    <t>ID3424 
Visualización de datos</t>
  </si>
  <si>
    <t>ID3423 
Sistema de apoyo a la toma de decisiones</t>
  </si>
  <si>
    <t>ID3420
Analítica para la inteligencia de negocios</t>
  </si>
  <si>
    <t>Prácticas profesionales 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</si>
</sst>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Calibri"/>
      <scheme val="minor"/>
    </font>
    <font>
      <sz val="8"/>
      <color theme="1"/>
      <name val="Calibri"/>
    </font>
    <font>
      <b/>
      <sz val="16"/>
      <color theme="1"/>
      <name val="Calibri"/>
    </font>
    <font>
      <sz val="10"/>
      <name val="Calibri"/>
    </font>
    <font>
      <b/>
      <sz val="11"/>
      <color theme="1"/>
      <name val="Calibri"/>
    </font>
    <font>
      <sz val="10"/>
      <color theme="1"/>
      <name val="Calibri"/>
      <family val="2"/>
    </font>
    <font>
      <b/>
      <sz val="25"/>
      <color theme="1"/>
      <name val="Calibri"/>
      <family val="2"/>
    </font>
    <font>
      <b/>
      <sz val="9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3"/>
      <color theme="1"/>
      <name val="Calibri"/>
      <family val="2"/>
    </font>
    <font>
      <b/>
      <sz val="13"/>
      <color theme="1"/>
      <name val="Calibri"/>
      <family val="2"/>
    </font>
    <font>
      <sz val="13"/>
      <name val="Calibri"/>
      <family val="2"/>
    </font>
    <font>
      <sz val="13"/>
      <color rgb="FF000000"/>
      <name val="Calibri"/>
      <family val="2"/>
      <scheme val="minor"/>
    </font>
    <font>
      <sz val="13"/>
      <color rgb="FF000000"/>
      <name val="Calibri"/>
      <family val="2"/>
    </font>
    <font>
      <sz val="13"/>
      <color theme="1"/>
      <name val="Arial"/>
      <family val="2"/>
    </font>
    <font>
      <sz val="13"/>
      <color theme="0"/>
      <name val="Calibri"/>
      <family val="2"/>
    </font>
    <font>
      <sz val="10"/>
      <color theme="0"/>
      <name val="Calibri"/>
      <family val="2"/>
    </font>
    <font>
      <b/>
      <sz val="1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C6D9F0"/>
        <bgColor rgb="FFC6D9F0"/>
      </patternFill>
    </fill>
    <fill>
      <patternFill patternType="solid">
        <fgColor rgb="FF8DB3E2"/>
        <bgColor rgb="FF8DB3E2"/>
      </patternFill>
    </fill>
    <fill>
      <patternFill patternType="solid">
        <fgColor rgb="FFD8D8D8"/>
        <bgColor rgb="FFD8D8D8"/>
      </patternFill>
    </fill>
    <fill>
      <patternFill patternType="solid">
        <fgColor rgb="FF7030A0"/>
        <bgColor rgb="FF7030A0"/>
      </patternFill>
    </fill>
    <fill>
      <patternFill patternType="solid">
        <fgColor rgb="FFE36C09"/>
        <bgColor rgb="FFE36C09"/>
      </patternFill>
    </fill>
    <fill>
      <patternFill patternType="solid">
        <fgColor rgb="FFE5B8B7"/>
        <bgColor rgb="FFE5B8B7"/>
      </patternFill>
    </fill>
    <fill>
      <patternFill patternType="solid">
        <fgColor rgb="FFC2D69B"/>
        <bgColor rgb="FFC2D69B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27" xfId="0" applyFont="1" applyFill="1" applyBorder="1"/>
    <xf numFmtId="0" fontId="2" fillId="2" borderId="27" xfId="0" applyFont="1" applyFill="1" applyBorder="1" applyAlignment="1">
      <alignment horizontal="center"/>
    </xf>
    <xf numFmtId="0" fontId="3" fillId="0" borderId="27" xfId="0" applyFont="1" applyBorder="1"/>
    <xf numFmtId="0" fontId="2" fillId="2" borderId="27" xfId="0" applyFont="1" applyFill="1" applyBorder="1"/>
    <xf numFmtId="0" fontId="7" fillId="2" borderId="1" xfId="0" applyFont="1" applyFill="1" applyBorder="1"/>
    <xf numFmtId="0" fontId="5" fillId="2" borderId="1" xfId="0" applyFont="1" applyFill="1" applyBorder="1"/>
    <xf numFmtId="0" fontId="8" fillId="0" borderId="0" xfId="0" applyFont="1" applyAlignment="1"/>
    <xf numFmtId="0" fontId="5" fillId="0" borderId="0" xfId="0" applyFont="1"/>
    <xf numFmtId="0" fontId="9" fillId="3" borderId="1" xfId="0" applyFont="1" applyFill="1" applyBorder="1"/>
    <xf numFmtId="0" fontId="9" fillId="3" borderId="2" xfId="0" applyFont="1" applyFill="1" applyBorder="1"/>
    <xf numFmtId="0" fontId="11" fillId="4" borderId="21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right"/>
    </xf>
    <xf numFmtId="0" fontId="11" fillId="4" borderId="22" xfId="0" applyFont="1" applyFill="1" applyBorder="1" applyAlignment="1">
      <alignment horizontal="left"/>
    </xf>
    <xf numFmtId="0" fontId="9" fillId="4" borderId="21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right"/>
    </xf>
    <xf numFmtId="0" fontId="9" fillId="4" borderId="22" xfId="0" applyFont="1" applyFill="1" applyBorder="1" applyAlignment="1">
      <alignment horizontal="left"/>
    </xf>
    <xf numFmtId="0" fontId="9" fillId="4" borderId="23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right"/>
    </xf>
    <xf numFmtId="0" fontId="9" fillId="4" borderId="24" xfId="0" applyFont="1" applyFill="1" applyBorder="1" applyAlignment="1">
      <alignment horizontal="left"/>
    </xf>
    <xf numFmtId="0" fontId="9" fillId="5" borderId="21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right"/>
    </xf>
    <xf numFmtId="0" fontId="9" fillId="5" borderId="22" xfId="0" applyFont="1" applyFill="1" applyBorder="1" applyAlignment="1">
      <alignment horizontal="left"/>
    </xf>
    <xf numFmtId="0" fontId="5" fillId="6" borderId="21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right"/>
    </xf>
    <xf numFmtId="0" fontId="5" fillId="5" borderId="22" xfId="0" applyFont="1" applyFill="1" applyBorder="1" applyAlignment="1">
      <alignment horizontal="left"/>
    </xf>
    <xf numFmtId="0" fontId="5" fillId="2" borderId="24" xfId="0" applyFont="1" applyFill="1" applyBorder="1"/>
    <xf numFmtId="0" fontId="10" fillId="2" borderId="1" xfId="0" applyFont="1" applyFill="1" applyBorder="1"/>
    <xf numFmtId="0" fontId="10" fillId="2" borderId="24" xfId="0" applyFont="1" applyFill="1" applyBorder="1"/>
    <xf numFmtId="0" fontId="9" fillId="4" borderId="2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right" vertical="center"/>
    </xf>
    <xf numFmtId="0" fontId="9" fillId="4" borderId="22" xfId="0" applyFont="1" applyFill="1" applyBorder="1" applyAlignment="1">
      <alignment horizontal="left" vertical="center"/>
    </xf>
    <xf numFmtId="0" fontId="5" fillId="6" borderId="23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right"/>
    </xf>
    <xf numFmtId="0" fontId="5" fillId="4" borderId="22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0" fontId="5" fillId="4" borderId="21" xfId="0" applyFont="1" applyFill="1" applyBorder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right"/>
    </xf>
    <xf numFmtId="0" fontId="5" fillId="9" borderId="22" xfId="0" applyFont="1" applyFill="1" applyBorder="1" applyAlignment="1">
      <alignment horizontal="left"/>
    </xf>
    <xf numFmtId="0" fontId="5" fillId="4" borderId="23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0" fontId="5" fillId="4" borderId="24" xfId="0" applyFont="1" applyFill="1" applyBorder="1" applyAlignment="1">
      <alignment horizontal="left"/>
    </xf>
    <xf numFmtId="0" fontId="5" fillId="10" borderId="21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right"/>
    </xf>
    <xf numFmtId="0" fontId="5" fillId="10" borderId="22" xfId="0" applyFont="1" applyFill="1" applyBorder="1"/>
    <xf numFmtId="0" fontId="5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5" fillId="2" borderId="22" xfId="0" applyFont="1" applyFill="1" applyBorder="1" applyAlignment="1">
      <alignment horizontal="left"/>
    </xf>
    <xf numFmtId="0" fontId="5" fillId="9" borderId="22" xfId="0" applyFont="1" applyFill="1" applyBorder="1"/>
    <xf numFmtId="0" fontId="5" fillId="3" borderId="1" xfId="0" applyFont="1" applyFill="1" applyBorder="1"/>
    <xf numFmtId="0" fontId="13" fillId="2" borderId="5" xfId="0" applyFont="1" applyFill="1" applyBorder="1"/>
    <xf numFmtId="0" fontId="14" fillId="2" borderId="6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2" borderId="1" xfId="0" applyFont="1" applyFill="1" applyBorder="1"/>
    <xf numFmtId="0" fontId="13" fillId="2" borderId="1" xfId="0" applyFont="1" applyFill="1" applyBorder="1"/>
    <xf numFmtId="0" fontId="16" fillId="0" borderId="0" xfId="0" applyFont="1" applyAlignment="1"/>
    <xf numFmtId="0" fontId="17" fillId="3" borderId="11" xfId="0" applyFont="1" applyFill="1" applyBorder="1"/>
    <xf numFmtId="0" fontId="17" fillId="3" borderId="12" xfId="0" applyFont="1" applyFill="1" applyBorder="1"/>
    <xf numFmtId="0" fontId="13" fillId="0" borderId="0" xfId="0" applyFont="1"/>
    <xf numFmtId="0" fontId="13" fillId="2" borderId="11" xfId="0" applyFont="1" applyFill="1" applyBorder="1"/>
    <xf numFmtId="0" fontId="18" fillId="2" borderId="11" xfId="0" applyFont="1" applyFill="1" applyBorder="1"/>
    <xf numFmtId="0" fontId="18" fillId="2" borderId="19" xfId="0" applyFont="1" applyFill="1" applyBorder="1"/>
    <xf numFmtId="0" fontId="17" fillId="3" borderId="1" xfId="0" applyFont="1" applyFill="1" applyBorder="1"/>
    <xf numFmtId="0" fontId="13" fillId="2" borderId="24" xfId="0" applyFont="1" applyFill="1" applyBorder="1"/>
    <xf numFmtId="0" fontId="18" fillId="2" borderId="1" xfId="0" applyFont="1" applyFill="1" applyBorder="1"/>
    <xf numFmtId="0" fontId="18" fillId="0" borderId="0" xfId="0" applyFont="1"/>
    <xf numFmtId="0" fontId="18" fillId="2" borderId="24" xfId="0" applyFont="1" applyFill="1" applyBorder="1"/>
    <xf numFmtId="0" fontId="13" fillId="3" borderId="23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3" borderId="1" xfId="0" applyFont="1" applyFill="1" applyBorder="1"/>
    <xf numFmtId="0" fontId="20" fillId="3" borderId="22" xfId="0" applyFont="1" applyFill="1" applyBorder="1" applyAlignment="1">
      <alignment horizontal="center"/>
    </xf>
    <xf numFmtId="0" fontId="20" fillId="8" borderId="22" xfId="0" applyFont="1" applyFill="1" applyBorder="1" applyAlignment="1">
      <alignment horizontal="center"/>
    </xf>
    <xf numFmtId="0" fontId="14" fillId="0" borderId="0" xfId="0" applyFont="1" applyFill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5" fillId="0" borderId="14" xfId="0" applyFont="1" applyBorder="1"/>
    <xf numFmtId="0" fontId="15" fillId="0" borderId="15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4" fillId="0" borderId="7" xfId="0" applyFont="1" applyBorder="1" applyAlignment="1">
      <alignment horizontal="center" vertical="center" wrapText="1"/>
    </xf>
    <xf numFmtId="0" fontId="15" fillId="0" borderId="8" xfId="0" applyFont="1" applyBorder="1"/>
    <xf numFmtId="0" fontId="15" fillId="0" borderId="9" xfId="0" applyFont="1" applyBorder="1"/>
    <xf numFmtId="0" fontId="12" fillId="3" borderId="10" xfId="0" applyFont="1" applyFill="1" applyBorder="1" applyAlignment="1">
      <alignment horizontal="center" vertical="center" textRotation="90"/>
    </xf>
    <xf numFmtId="0" fontId="21" fillId="0" borderId="20" xfId="0" applyFont="1" applyBorder="1"/>
    <xf numFmtId="0" fontId="21" fillId="0" borderId="29" xfId="0" applyFont="1" applyBorder="1"/>
    <xf numFmtId="0" fontId="17" fillId="4" borderId="13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9" fillId="8" borderId="16" xfId="0" applyFont="1" applyFill="1" applyBorder="1" applyAlignment="1">
      <alignment vertical="center" textRotation="90" wrapText="1"/>
    </xf>
    <xf numFmtId="0" fontId="19" fillId="0" borderId="25" xfId="0" applyFont="1" applyBorder="1"/>
    <xf numFmtId="0" fontId="19" fillId="0" borderId="28" xfId="0" applyFont="1" applyBorder="1"/>
    <xf numFmtId="0" fontId="19" fillId="8" borderId="16" xfId="0" applyFont="1" applyFill="1" applyBorder="1" applyAlignment="1">
      <alignment horizontal="center" vertical="center" textRotation="90" wrapText="1"/>
    </xf>
    <xf numFmtId="0" fontId="13" fillId="9" borderId="12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vertical="center" wrapText="1"/>
    </xf>
    <xf numFmtId="0" fontId="15" fillId="0" borderId="3" xfId="0" applyFont="1" applyBorder="1"/>
    <xf numFmtId="0" fontId="15" fillId="0" borderId="4" xfId="0" applyFont="1" applyBorder="1"/>
    <xf numFmtId="0" fontId="13" fillId="9" borderId="13" xfId="0" applyFont="1" applyFill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textRotation="90" wrapText="1"/>
    </xf>
    <xf numFmtId="0" fontId="19" fillId="0" borderId="26" xfId="0" applyFont="1" applyBorder="1"/>
    <xf numFmtId="0" fontId="19" fillId="0" borderId="32" xfId="0" applyFont="1" applyBorder="1"/>
    <xf numFmtId="0" fontId="14" fillId="0" borderId="10" xfId="0" applyFont="1" applyBorder="1" applyAlignment="1">
      <alignment horizontal="center" vertical="center" wrapText="1"/>
    </xf>
    <xf numFmtId="0" fontId="15" fillId="0" borderId="30" xfId="0" applyFont="1" applyBorder="1"/>
    <xf numFmtId="0" fontId="15" fillId="0" borderId="31" xfId="0" applyFont="1" applyBorder="1"/>
    <xf numFmtId="0" fontId="15" fillId="0" borderId="29" xfId="0" applyFont="1" applyBorder="1"/>
    <xf numFmtId="0" fontId="15" fillId="0" borderId="33" xfId="0" applyFont="1" applyBorder="1"/>
    <xf numFmtId="0" fontId="15" fillId="0" borderId="34" xfId="0" applyFont="1" applyBorder="1"/>
    <xf numFmtId="0" fontId="13" fillId="10" borderId="1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wrapText="1"/>
    </xf>
    <xf numFmtId="0" fontId="12" fillId="3" borderId="17" xfId="0" applyFont="1" applyFill="1" applyBorder="1" applyAlignment="1">
      <alignment horizontal="center" vertical="center" textRotation="90"/>
    </xf>
    <xf numFmtId="0" fontId="21" fillId="0" borderId="26" xfId="0" applyFont="1" applyBorder="1"/>
    <xf numFmtId="0" fontId="21" fillId="0" borderId="32" xfId="0" applyFont="1" applyBorder="1"/>
    <xf numFmtId="0" fontId="19" fillId="3" borderId="16" xfId="0" applyFont="1" applyFill="1" applyBorder="1" applyAlignment="1">
      <alignment horizontal="center" textRotation="90" wrapText="1"/>
    </xf>
    <xf numFmtId="0" fontId="6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346364</xdr:colOff>
      <xdr:row>1</xdr:row>
      <xdr:rowOff>155864</xdr:rowOff>
    </xdr:from>
    <xdr:to>
      <xdr:col>7</xdr:col>
      <xdr:colOff>199159</xdr:colOff>
      <xdr:row>5</xdr:row>
      <xdr:rowOff>166688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155864"/>
          <a:ext cx="2511136" cy="1067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D27"/>
  <sheetViews>
    <sheetView tabSelected="1" topLeftCell="A11" zoomScale="70" zoomScaleNormal="70" workbookViewId="0">
      <selection activeCell="AA9" sqref="AA9"/>
    </sheetView>
  </sheetViews>
  <sheetFormatPr baseColWidth="10" defaultColWidth="14.4140625" defaultRowHeight="15" customHeight="1" x14ac:dyDescent="0.35"/>
  <cols>
    <col min="1" max="82" width="5.75" customWidth="1"/>
  </cols>
  <sheetData>
    <row r="1" spans="1:82" ht="19.5" hidden="1" customHeight="1" x14ac:dyDescent="0.55000000000000004">
      <c r="A1" s="1"/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8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82" ht="19.5" customHeight="1" x14ac:dyDescent="0.55000000000000004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</row>
    <row r="3" spans="1:82" ht="19.5" customHeight="1" x14ac:dyDescent="0.55000000000000004">
      <c r="A3" s="5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8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</row>
    <row r="4" spans="1:82" ht="26.25" customHeight="1" x14ac:dyDescent="0.85">
      <c r="A4" s="145" t="s">
        <v>0</v>
      </c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5"/>
      <c r="BM4" s="145"/>
      <c r="BN4" s="145"/>
      <c r="BO4" s="145"/>
      <c r="BP4" s="145"/>
      <c r="BQ4" s="145"/>
      <c r="BR4" s="145"/>
      <c r="BS4" s="145"/>
      <c r="BT4" s="145"/>
      <c r="BU4" s="145"/>
      <c r="BV4" s="145"/>
      <c r="BW4" s="145"/>
      <c r="BX4" s="145"/>
      <c r="BY4" s="145"/>
      <c r="BZ4" s="145"/>
      <c r="CA4" s="145"/>
      <c r="CB4" s="145"/>
      <c r="CC4" s="145"/>
      <c r="CD4" s="145"/>
    </row>
    <row r="5" spans="1:82" ht="19.5" customHeight="1" x14ac:dyDescent="0.55000000000000004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8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</row>
    <row r="6" spans="1:82" ht="19.5" customHeight="1" x14ac:dyDescent="0.35"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s="80" customFormat="1" ht="19.5" customHeight="1" x14ac:dyDescent="0.45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8"/>
      <c r="AN7" s="79"/>
      <c r="AO7" s="99"/>
      <c r="AP7" s="109" t="s">
        <v>1</v>
      </c>
      <c r="AQ7" s="110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1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</row>
    <row r="8" spans="1:82" s="80" customFormat="1" ht="81" customHeight="1" x14ac:dyDescent="0.45">
      <c r="A8" s="112" t="s">
        <v>2</v>
      </c>
      <c r="B8" s="81"/>
      <c r="C8" s="81"/>
      <c r="D8" s="81"/>
      <c r="E8" s="82"/>
      <c r="F8" s="115" t="s">
        <v>3</v>
      </c>
      <c r="G8" s="104"/>
      <c r="H8" s="104"/>
      <c r="I8" s="105"/>
      <c r="J8" s="115" t="s">
        <v>4</v>
      </c>
      <c r="K8" s="104"/>
      <c r="L8" s="104"/>
      <c r="M8" s="105"/>
      <c r="N8" s="115" t="s">
        <v>5</v>
      </c>
      <c r="O8" s="104"/>
      <c r="P8" s="104"/>
      <c r="Q8" s="105"/>
      <c r="R8" s="115" t="s">
        <v>6</v>
      </c>
      <c r="S8" s="104"/>
      <c r="T8" s="104"/>
      <c r="U8" s="105"/>
      <c r="V8" s="115" t="s">
        <v>7</v>
      </c>
      <c r="W8" s="104"/>
      <c r="X8" s="104"/>
      <c r="Y8" s="105"/>
      <c r="Z8" s="115" t="s">
        <v>8</v>
      </c>
      <c r="AA8" s="104"/>
      <c r="AB8" s="104"/>
      <c r="AC8" s="105"/>
      <c r="AD8" s="116" t="s">
        <v>9</v>
      </c>
      <c r="AE8" s="104"/>
      <c r="AF8" s="104"/>
      <c r="AG8" s="105"/>
      <c r="AH8" s="124" t="s">
        <v>10</v>
      </c>
      <c r="AI8" s="104"/>
      <c r="AJ8" s="104"/>
      <c r="AK8" s="105"/>
      <c r="AL8" s="144"/>
      <c r="AM8" s="129" t="s">
        <v>11</v>
      </c>
      <c r="AN8" s="79"/>
      <c r="AO8" s="100"/>
      <c r="AP8" s="103" t="s">
        <v>12</v>
      </c>
      <c r="AQ8" s="104"/>
      <c r="AR8" s="104"/>
      <c r="AS8" s="105"/>
      <c r="AT8" s="103" t="s">
        <v>95</v>
      </c>
      <c r="AU8" s="104"/>
      <c r="AV8" s="104"/>
      <c r="AW8" s="105"/>
      <c r="AX8" s="83"/>
      <c r="AY8" s="83"/>
      <c r="AZ8" s="83"/>
      <c r="BA8" s="83"/>
      <c r="BB8" s="84"/>
      <c r="BC8" s="84"/>
      <c r="BD8" s="84"/>
      <c r="BE8" s="84"/>
      <c r="BF8" s="84"/>
      <c r="BG8" s="84"/>
      <c r="BH8" s="84"/>
      <c r="BI8" s="84"/>
      <c r="BJ8" s="85"/>
      <c r="BK8" s="85"/>
      <c r="BL8" s="85"/>
      <c r="BM8" s="86"/>
      <c r="BN8" s="79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</row>
    <row r="9" spans="1:82" s="11" customFormat="1" ht="15" customHeight="1" x14ac:dyDescent="0.35">
      <c r="A9" s="113"/>
      <c r="B9" s="13"/>
      <c r="C9" s="13"/>
      <c r="D9" s="13"/>
      <c r="E9" s="14"/>
      <c r="F9" s="15" t="s">
        <v>13</v>
      </c>
      <c r="G9" s="16"/>
      <c r="H9" s="17">
        <v>6</v>
      </c>
      <c r="I9" s="18" t="s">
        <v>14</v>
      </c>
      <c r="J9" s="15" t="s">
        <v>13</v>
      </c>
      <c r="K9" s="16"/>
      <c r="L9" s="17">
        <v>8</v>
      </c>
      <c r="M9" s="18" t="s">
        <v>14</v>
      </c>
      <c r="N9" s="15" t="s">
        <v>13</v>
      </c>
      <c r="O9" s="16" t="s">
        <v>15</v>
      </c>
      <c r="P9" s="17">
        <v>8</v>
      </c>
      <c r="Q9" s="18" t="s">
        <v>14</v>
      </c>
      <c r="R9" s="19" t="s">
        <v>13</v>
      </c>
      <c r="S9" s="20" t="s">
        <v>15</v>
      </c>
      <c r="T9" s="21">
        <v>8</v>
      </c>
      <c r="U9" s="22" t="s">
        <v>14</v>
      </c>
      <c r="V9" s="19" t="s">
        <v>13</v>
      </c>
      <c r="W9" s="20" t="s">
        <v>16</v>
      </c>
      <c r="X9" s="21">
        <v>6</v>
      </c>
      <c r="Y9" s="22" t="s">
        <v>14</v>
      </c>
      <c r="Z9" s="23" t="s">
        <v>13</v>
      </c>
      <c r="AA9" s="24" t="s">
        <v>16</v>
      </c>
      <c r="AB9" s="25">
        <v>6</v>
      </c>
      <c r="AC9" s="26" t="s">
        <v>14</v>
      </c>
      <c r="AD9" s="27" t="s">
        <v>17</v>
      </c>
      <c r="AE9" s="28"/>
      <c r="AF9" s="29">
        <v>6</v>
      </c>
      <c r="AG9" s="30" t="s">
        <v>14</v>
      </c>
      <c r="AH9" s="31"/>
      <c r="AI9" s="32"/>
      <c r="AJ9" s="32"/>
      <c r="AK9" s="33" t="s">
        <v>18</v>
      </c>
      <c r="AL9" s="119"/>
      <c r="AM9" s="130"/>
      <c r="AN9" s="10">
        <f>D9+H9+L9+P9+T9+X9+AB9+AF9</f>
        <v>48</v>
      </c>
      <c r="AO9" s="101"/>
      <c r="AP9" s="34" t="s">
        <v>19</v>
      </c>
      <c r="AQ9" s="35" t="s">
        <v>15</v>
      </c>
      <c r="AR9" s="36">
        <v>6</v>
      </c>
      <c r="AS9" s="37" t="s">
        <v>14</v>
      </c>
      <c r="AT9" s="34" t="s">
        <v>19</v>
      </c>
      <c r="AU9" s="35" t="s">
        <v>15</v>
      </c>
      <c r="AV9" s="36">
        <v>6</v>
      </c>
      <c r="AW9" s="37" t="s">
        <v>14</v>
      </c>
      <c r="AX9" s="12"/>
      <c r="AY9" s="12"/>
      <c r="AZ9" s="12"/>
      <c r="BA9" s="12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38"/>
      <c r="BN9" s="10"/>
      <c r="BO9" s="39"/>
      <c r="BP9" s="39"/>
      <c r="BQ9" s="39"/>
      <c r="BR9" s="39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</row>
    <row r="10" spans="1:82" s="80" customFormat="1" ht="81" customHeight="1" x14ac:dyDescent="0.45">
      <c r="A10" s="113"/>
      <c r="B10" s="87"/>
      <c r="C10" s="87"/>
      <c r="D10" s="87"/>
      <c r="E10" s="87"/>
      <c r="F10" s="115" t="s">
        <v>20</v>
      </c>
      <c r="G10" s="104"/>
      <c r="H10" s="104"/>
      <c r="I10" s="105"/>
      <c r="J10" s="117" t="s">
        <v>21</v>
      </c>
      <c r="K10" s="104"/>
      <c r="L10" s="104"/>
      <c r="M10" s="105"/>
      <c r="N10" s="115" t="s">
        <v>22</v>
      </c>
      <c r="O10" s="104"/>
      <c r="P10" s="104"/>
      <c r="Q10" s="105"/>
      <c r="R10" s="115" t="s">
        <v>23</v>
      </c>
      <c r="S10" s="104"/>
      <c r="T10" s="104"/>
      <c r="U10" s="105"/>
      <c r="V10" s="115" t="s">
        <v>24</v>
      </c>
      <c r="W10" s="104"/>
      <c r="X10" s="104"/>
      <c r="Y10" s="105"/>
      <c r="Z10" s="115" t="s">
        <v>25</v>
      </c>
      <c r="AA10" s="104"/>
      <c r="AB10" s="104"/>
      <c r="AC10" s="105"/>
      <c r="AD10" s="116" t="s">
        <v>9</v>
      </c>
      <c r="AE10" s="104"/>
      <c r="AF10" s="104"/>
      <c r="AG10" s="105"/>
      <c r="AH10" s="124" t="s">
        <v>10</v>
      </c>
      <c r="AI10" s="104"/>
      <c r="AJ10" s="104"/>
      <c r="AK10" s="105"/>
      <c r="AL10" s="120"/>
      <c r="AM10" s="130"/>
      <c r="AN10" s="79"/>
      <c r="AO10" s="100"/>
      <c r="AP10" s="103" t="s">
        <v>26</v>
      </c>
      <c r="AQ10" s="104"/>
      <c r="AR10" s="104"/>
      <c r="AS10" s="105"/>
      <c r="AT10" s="103" t="s">
        <v>96</v>
      </c>
      <c r="AU10" s="104"/>
      <c r="AV10" s="104"/>
      <c r="AW10" s="105"/>
      <c r="BB10" s="89"/>
      <c r="BC10" s="89"/>
      <c r="BD10" s="89"/>
      <c r="BE10" s="89"/>
      <c r="BF10" s="89"/>
      <c r="BG10" s="89"/>
      <c r="BH10" s="89"/>
      <c r="BI10" s="89"/>
      <c r="BJ10" s="90"/>
      <c r="BK10" s="89"/>
      <c r="BL10" s="89"/>
      <c r="BM10" s="91"/>
      <c r="BN10" s="79"/>
      <c r="BO10" s="79"/>
      <c r="BP10" s="89"/>
      <c r="BQ10" s="89"/>
      <c r="BR10" s="89"/>
      <c r="BS10" s="8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</row>
    <row r="11" spans="1:82" s="11" customFormat="1" ht="15" customHeight="1" x14ac:dyDescent="0.35">
      <c r="A11" s="114"/>
      <c r="B11" s="13"/>
      <c r="C11" s="13"/>
      <c r="D11" s="13"/>
      <c r="E11" s="14"/>
      <c r="F11" s="19" t="s">
        <v>13</v>
      </c>
      <c r="G11" s="20" t="s">
        <v>15</v>
      </c>
      <c r="H11" s="21">
        <v>8</v>
      </c>
      <c r="I11" s="22" t="s">
        <v>14</v>
      </c>
      <c r="J11" s="16" t="s">
        <v>13</v>
      </c>
      <c r="K11" s="16" t="s">
        <v>27</v>
      </c>
      <c r="L11" s="17">
        <v>8</v>
      </c>
      <c r="M11" s="18" t="s">
        <v>14</v>
      </c>
      <c r="N11" s="19" t="s">
        <v>13</v>
      </c>
      <c r="O11" s="20" t="s">
        <v>15</v>
      </c>
      <c r="P11" s="21">
        <v>6</v>
      </c>
      <c r="Q11" s="22" t="s">
        <v>14</v>
      </c>
      <c r="R11" s="41" t="s">
        <v>13</v>
      </c>
      <c r="S11" s="42" t="s">
        <v>15</v>
      </c>
      <c r="T11" s="43">
        <v>6</v>
      </c>
      <c r="U11" s="44" t="s">
        <v>14</v>
      </c>
      <c r="V11" s="19" t="s">
        <v>13</v>
      </c>
      <c r="W11" s="20" t="s">
        <v>16</v>
      </c>
      <c r="X11" s="21">
        <v>8</v>
      </c>
      <c r="Y11" s="22" t="s">
        <v>14</v>
      </c>
      <c r="Z11" s="23" t="s">
        <v>13</v>
      </c>
      <c r="AA11" s="24" t="s">
        <v>16</v>
      </c>
      <c r="AB11" s="25">
        <v>6</v>
      </c>
      <c r="AC11" s="26" t="s">
        <v>14</v>
      </c>
      <c r="AD11" s="27" t="s">
        <v>17</v>
      </c>
      <c r="AE11" s="28"/>
      <c r="AF11" s="29">
        <v>6</v>
      </c>
      <c r="AG11" s="30" t="s">
        <v>14</v>
      </c>
      <c r="AH11" s="45"/>
      <c r="AI11" s="46"/>
      <c r="AJ11" s="46"/>
      <c r="AK11" s="47"/>
      <c r="AL11" s="97"/>
      <c r="AM11" s="130"/>
      <c r="AN11" s="10">
        <f>D11+H11+L11+P11+T11+X11+AB11+AF11</f>
        <v>48</v>
      </c>
      <c r="AO11" s="101"/>
      <c r="AP11" s="34" t="s">
        <v>19</v>
      </c>
      <c r="AQ11" s="35" t="s">
        <v>15</v>
      </c>
      <c r="AR11" s="36">
        <v>6</v>
      </c>
      <c r="AS11" s="37" t="s">
        <v>14</v>
      </c>
      <c r="AT11" s="34" t="s">
        <v>13</v>
      </c>
      <c r="AU11" s="35" t="s">
        <v>27</v>
      </c>
      <c r="AV11" s="36">
        <v>6</v>
      </c>
      <c r="AW11" s="37" t="s">
        <v>14</v>
      </c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38"/>
      <c r="BN11" s="10"/>
      <c r="BO11" s="10"/>
      <c r="BP11" s="39"/>
      <c r="BQ11" s="39"/>
      <c r="BR11" s="39"/>
      <c r="BS11" s="39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</row>
    <row r="12" spans="1:82" s="80" customFormat="1" ht="82.5" customHeight="1" x14ac:dyDescent="0.45">
      <c r="A12" s="141" t="s">
        <v>28</v>
      </c>
      <c r="B12" s="115" t="s">
        <v>29</v>
      </c>
      <c r="C12" s="104"/>
      <c r="D12" s="104"/>
      <c r="E12" s="105"/>
      <c r="F12" s="123" t="s">
        <v>30</v>
      </c>
      <c r="G12" s="104"/>
      <c r="H12" s="104"/>
      <c r="I12" s="105"/>
      <c r="J12" s="115" t="s">
        <v>31</v>
      </c>
      <c r="K12" s="104"/>
      <c r="L12" s="104"/>
      <c r="M12" s="105"/>
      <c r="N12" s="115" t="s">
        <v>32</v>
      </c>
      <c r="O12" s="104"/>
      <c r="P12" s="104"/>
      <c r="Q12" s="105"/>
      <c r="R12" s="115" t="s">
        <v>33</v>
      </c>
      <c r="S12" s="104"/>
      <c r="T12" s="104"/>
      <c r="U12" s="105"/>
      <c r="V12" s="115" t="s">
        <v>34</v>
      </c>
      <c r="W12" s="104"/>
      <c r="X12" s="104"/>
      <c r="Y12" s="105"/>
      <c r="Z12" s="115" t="s">
        <v>35</v>
      </c>
      <c r="AA12" s="104"/>
      <c r="AB12" s="104"/>
      <c r="AC12" s="105"/>
      <c r="AD12" s="103" t="s">
        <v>9</v>
      </c>
      <c r="AE12" s="104"/>
      <c r="AF12" s="104"/>
      <c r="AG12" s="105"/>
      <c r="AH12" s="124" t="s">
        <v>10</v>
      </c>
      <c r="AI12" s="104"/>
      <c r="AJ12" s="104"/>
      <c r="AK12" s="105"/>
      <c r="AL12" s="118" t="s">
        <v>109</v>
      </c>
      <c r="AM12" s="130"/>
      <c r="AN12" s="79"/>
      <c r="AO12" s="100"/>
      <c r="AP12" s="103" t="s">
        <v>36</v>
      </c>
      <c r="AQ12" s="104"/>
      <c r="AR12" s="104"/>
      <c r="AS12" s="105"/>
      <c r="AT12" s="103" t="s">
        <v>97</v>
      </c>
      <c r="AU12" s="104"/>
      <c r="AV12" s="104"/>
      <c r="AW12" s="105"/>
      <c r="AX12" s="83"/>
      <c r="AY12" s="83"/>
      <c r="AZ12" s="83"/>
      <c r="BA12" s="83"/>
      <c r="BB12" s="83"/>
      <c r="BC12" s="83"/>
      <c r="BD12" s="83"/>
      <c r="BE12" s="83"/>
      <c r="BF12" s="79"/>
      <c r="BG12" s="79"/>
      <c r="BH12" s="79"/>
      <c r="BI12" s="79"/>
      <c r="BJ12" s="79"/>
      <c r="BK12" s="79"/>
      <c r="BL12" s="79"/>
      <c r="BM12" s="88"/>
      <c r="BN12" s="79"/>
      <c r="BO12" s="89"/>
      <c r="BP12" s="89"/>
      <c r="BQ12" s="89"/>
      <c r="BR12" s="8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</row>
    <row r="13" spans="1:82" s="11" customFormat="1" ht="15" customHeight="1" x14ac:dyDescent="0.35">
      <c r="A13" s="142"/>
      <c r="B13" s="41" t="s">
        <v>13</v>
      </c>
      <c r="C13" s="42" t="s">
        <v>16</v>
      </c>
      <c r="D13" s="43">
        <v>8</v>
      </c>
      <c r="E13" s="44" t="s">
        <v>14</v>
      </c>
      <c r="F13" s="48" t="s">
        <v>13</v>
      </c>
      <c r="G13" s="48" t="s">
        <v>27</v>
      </c>
      <c r="H13" s="49">
        <v>6</v>
      </c>
      <c r="I13" s="50" t="s">
        <v>14</v>
      </c>
      <c r="J13" s="41" t="s">
        <v>13</v>
      </c>
      <c r="K13" s="42" t="s">
        <v>16</v>
      </c>
      <c r="L13" s="43">
        <v>8</v>
      </c>
      <c r="M13" s="44" t="s">
        <v>14</v>
      </c>
      <c r="N13" s="19" t="s">
        <v>13</v>
      </c>
      <c r="O13" s="20" t="s">
        <v>15</v>
      </c>
      <c r="P13" s="21">
        <v>8</v>
      </c>
      <c r="Q13" s="22" t="s">
        <v>14</v>
      </c>
      <c r="R13" s="19" t="s">
        <v>13</v>
      </c>
      <c r="S13" s="20" t="s">
        <v>15</v>
      </c>
      <c r="T13" s="21">
        <v>6</v>
      </c>
      <c r="U13" s="22" t="s">
        <v>14</v>
      </c>
      <c r="V13" s="19" t="s">
        <v>13</v>
      </c>
      <c r="W13" s="20" t="s">
        <v>15</v>
      </c>
      <c r="X13" s="21">
        <v>6</v>
      </c>
      <c r="Y13" s="22" t="s">
        <v>14</v>
      </c>
      <c r="Z13" s="23" t="s">
        <v>13</v>
      </c>
      <c r="AA13" s="24" t="s">
        <v>16</v>
      </c>
      <c r="AB13" s="25">
        <v>6</v>
      </c>
      <c r="AC13" s="26" t="s">
        <v>14</v>
      </c>
      <c r="AD13" s="34" t="s">
        <v>17</v>
      </c>
      <c r="AE13" s="35"/>
      <c r="AF13" s="36">
        <v>6</v>
      </c>
      <c r="AG13" s="37" t="s">
        <v>14</v>
      </c>
      <c r="AH13" s="45"/>
      <c r="AI13" s="46"/>
      <c r="AJ13" s="46"/>
      <c r="AK13" s="47"/>
      <c r="AL13" s="119"/>
      <c r="AM13" s="130"/>
      <c r="AN13" s="10">
        <f>D13+H13+L13+P13+T13+X13+AB13+AF13</f>
        <v>54</v>
      </c>
      <c r="AO13" s="101"/>
      <c r="AP13" s="34" t="s">
        <v>19</v>
      </c>
      <c r="AQ13" s="35" t="s">
        <v>15</v>
      </c>
      <c r="AR13" s="36">
        <v>6</v>
      </c>
      <c r="AS13" s="37" t="s">
        <v>14</v>
      </c>
      <c r="AT13" s="34" t="s">
        <v>19</v>
      </c>
      <c r="AU13" s="35" t="s">
        <v>15</v>
      </c>
      <c r="AV13" s="36">
        <v>6</v>
      </c>
      <c r="AW13" s="37" t="s">
        <v>14</v>
      </c>
      <c r="AX13" s="12"/>
      <c r="AY13" s="12"/>
      <c r="AZ13" s="12"/>
      <c r="BA13" s="12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38"/>
      <c r="BN13" s="10"/>
      <c r="BO13" s="39"/>
      <c r="BP13" s="39"/>
      <c r="BQ13" s="39"/>
      <c r="BR13" s="39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</row>
    <row r="14" spans="1:82" s="80" customFormat="1" ht="81" customHeight="1" x14ac:dyDescent="0.45">
      <c r="A14" s="142"/>
      <c r="B14" s="92"/>
      <c r="C14" s="93"/>
      <c r="D14" s="93"/>
      <c r="E14" s="94"/>
      <c r="F14" s="117" t="s">
        <v>37</v>
      </c>
      <c r="G14" s="104"/>
      <c r="H14" s="104"/>
      <c r="I14" s="105"/>
      <c r="J14" s="115" t="s">
        <v>38</v>
      </c>
      <c r="K14" s="104"/>
      <c r="L14" s="104"/>
      <c r="M14" s="105"/>
      <c r="N14" s="115" t="s">
        <v>39</v>
      </c>
      <c r="O14" s="104"/>
      <c r="P14" s="104"/>
      <c r="Q14" s="105"/>
      <c r="R14" s="115" t="s">
        <v>93</v>
      </c>
      <c r="S14" s="104"/>
      <c r="T14" s="104"/>
      <c r="U14" s="105"/>
      <c r="V14" s="115" t="s">
        <v>40</v>
      </c>
      <c r="W14" s="104"/>
      <c r="X14" s="104"/>
      <c r="Y14" s="105"/>
      <c r="Z14" s="115" t="s">
        <v>41</v>
      </c>
      <c r="AA14" s="104"/>
      <c r="AB14" s="104"/>
      <c r="AC14" s="105"/>
      <c r="AD14" s="103" t="s">
        <v>9</v>
      </c>
      <c r="AE14" s="104"/>
      <c r="AF14" s="104"/>
      <c r="AG14" s="105"/>
      <c r="AH14" s="140" t="s">
        <v>10</v>
      </c>
      <c r="AI14" s="104"/>
      <c r="AJ14" s="104"/>
      <c r="AK14" s="105"/>
      <c r="AL14" s="120"/>
      <c r="AM14" s="130"/>
      <c r="AN14" s="83"/>
      <c r="AO14" s="102"/>
      <c r="AP14" s="103" t="s">
        <v>42</v>
      </c>
      <c r="AQ14" s="104"/>
      <c r="AR14" s="104"/>
      <c r="AS14" s="105"/>
      <c r="AT14" s="103" t="s">
        <v>43</v>
      </c>
      <c r="AU14" s="104"/>
      <c r="AV14" s="104"/>
      <c r="AW14" s="105"/>
      <c r="BB14" s="83"/>
      <c r="BC14" s="83"/>
      <c r="BD14" s="83"/>
      <c r="BE14" s="83"/>
      <c r="BF14" s="125"/>
      <c r="BG14" s="126"/>
      <c r="BH14" s="126"/>
      <c r="BI14" s="127"/>
      <c r="BJ14" s="79"/>
      <c r="BK14" s="79"/>
      <c r="BL14" s="79"/>
      <c r="BM14" s="88"/>
      <c r="BN14" s="79"/>
      <c r="BO14" s="132" t="s">
        <v>44</v>
      </c>
      <c r="BP14" s="133"/>
      <c r="BQ14" s="133"/>
      <c r="BR14" s="133"/>
      <c r="BS14" s="133"/>
      <c r="BT14" s="133"/>
      <c r="BU14" s="133"/>
      <c r="BV14" s="134"/>
      <c r="BW14" s="132" t="s">
        <v>45</v>
      </c>
      <c r="BX14" s="133"/>
      <c r="BY14" s="133"/>
      <c r="BZ14" s="133"/>
      <c r="CA14" s="133"/>
      <c r="CB14" s="133"/>
      <c r="CC14" s="133"/>
      <c r="CD14" s="134"/>
    </row>
    <row r="15" spans="1:82" s="11" customFormat="1" ht="15" customHeight="1" x14ac:dyDescent="0.35">
      <c r="A15" s="143"/>
      <c r="B15" s="51"/>
      <c r="C15" s="52"/>
      <c r="D15" s="52"/>
      <c r="E15" s="53"/>
      <c r="F15" s="20" t="s">
        <v>13</v>
      </c>
      <c r="G15" s="20" t="s">
        <v>15</v>
      </c>
      <c r="H15" s="21">
        <v>6</v>
      </c>
      <c r="I15" s="22" t="s">
        <v>14</v>
      </c>
      <c r="J15" s="41" t="s">
        <v>13</v>
      </c>
      <c r="K15" s="42" t="s">
        <v>15</v>
      </c>
      <c r="L15" s="43">
        <v>8</v>
      </c>
      <c r="M15" s="44" t="s">
        <v>14</v>
      </c>
      <c r="N15" s="19" t="s">
        <v>13</v>
      </c>
      <c r="O15" s="20" t="s">
        <v>15</v>
      </c>
      <c r="P15" s="21">
        <v>8</v>
      </c>
      <c r="Q15" s="22" t="s">
        <v>14</v>
      </c>
      <c r="R15" s="19" t="s">
        <v>13</v>
      </c>
      <c r="S15" s="20" t="s">
        <v>15</v>
      </c>
      <c r="T15" s="21">
        <v>8</v>
      </c>
      <c r="U15" s="22" t="s">
        <v>14</v>
      </c>
      <c r="V15" s="19" t="s">
        <v>13</v>
      </c>
      <c r="W15" s="20" t="s">
        <v>15</v>
      </c>
      <c r="X15" s="21">
        <v>6</v>
      </c>
      <c r="Y15" s="22" t="s">
        <v>14</v>
      </c>
      <c r="Z15" s="23" t="s">
        <v>13</v>
      </c>
      <c r="AA15" s="24" t="s">
        <v>16</v>
      </c>
      <c r="AB15" s="25">
        <v>6</v>
      </c>
      <c r="AC15" s="26" t="s">
        <v>14</v>
      </c>
      <c r="AD15" s="34" t="s">
        <v>17</v>
      </c>
      <c r="AE15" s="35"/>
      <c r="AF15" s="36">
        <v>6</v>
      </c>
      <c r="AG15" s="37" t="s">
        <v>14</v>
      </c>
      <c r="AH15" s="46"/>
      <c r="AI15" s="46"/>
      <c r="AJ15" s="46"/>
      <c r="AK15" s="47"/>
      <c r="AL15" s="98">
        <v>10</v>
      </c>
      <c r="AM15" s="131"/>
      <c r="AN15" s="10">
        <f>D15+H15+L15+P15+T15+X15+AB15+AF15+AL15</f>
        <v>58</v>
      </c>
      <c r="AO15" s="101"/>
      <c r="AP15" s="34" t="s">
        <v>19</v>
      </c>
      <c r="AQ15" s="35" t="s">
        <v>16</v>
      </c>
      <c r="AR15" s="36">
        <v>6</v>
      </c>
      <c r="AS15" s="37" t="s">
        <v>14</v>
      </c>
      <c r="AT15" s="34" t="s">
        <v>19</v>
      </c>
      <c r="AU15" s="35" t="s">
        <v>16</v>
      </c>
      <c r="AV15" s="36">
        <v>6</v>
      </c>
      <c r="AW15" s="37" t="s">
        <v>14</v>
      </c>
      <c r="BB15" s="12"/>
      <c r="BC15" s="12"/>
      <c r="BD15" s="12"/>
      <c r="BE15" s="12"/>
      <c r="BF15" s="54"/>
      <c r="BG15" s="54"/>
      <c r="BH15" s="54"/>
      <c r="BI15" s="54"/>
      <c r="BJ15" s="55"/>
      <c r="BK15" s="55"/>
      <c r="BL15" s="56"/>
      <c r="BM15" s="40"/>
      <c r="BN15" s="10"/>
      <c r="BO15" s="135"/>
      <c r="BP15" s="136"/>
      <c r="BQ15" s="136"/>
      <c r="BR15" s="136"/>
      <c r="BS15" s="136"/>
      <c r="BT15" s="136"/>
      <c r="BU15" s="136"/>
      <c r="BV15" s="137"/>
      <c r="BW15" s="135"/>
      <c r="BX15" s="136"/>
      <c r="BY15" s="136"/>
      <c r="BZ15" s="136"/>
      <c r="CA15" s="136"/>
      <c r="CB15" s="136"/>
      <c r="CC15" s="136"/>
      <c r="CD15" s="137"/>
    </row>
    <row r="16" spans="1:82" s="80" customFormat="1" ht="81" customHeight="1" x14ac:dyDescent="0.45">
      <c r="A16" s="141" t="s">
        <v>46</v>
      </c>
      <c r="B16" s="123" t="s">
        <v>47</v>
      </c>
      <c r="C16" s="104"/>
      <c r="D16" s="104"/>
      <c r="E16" s="105"/>
      <c r="F16" s="128" t="s">
        <v>48</v>
      </c>
      <c r="G16" s="104"/>
      <c r="H16" s="104"/>
      <c r="I16" s="105"/>
      <c r="J16" s="123" t="s">
        <v>49</v>
      </c>
      <c r="K16" s="104"/>
      <c r="L16" s="104"/>
      <c r="M16" s="105"/>
      <c r="N16" s="123" t="s">
        <v>50</v>
      </c>
      <c r="O16" s="104"/>
      <c r="P16" s="104"/>
      <c r="Q16" s="105"/>
      <c r="R16" s="123" t="s">
        <v>51</v>
      </c>
      <c r="S16" s="104"/>
      <c r="T16" s="104"/>
      <c r="U16" s="105"/>
      <c r="V16" s="123" t="s">
        <v>52</v>
      </c>
      <c r="W16" s="104"/>
      <c r="X16" s="104"/>
      <c r="Y16" s="105"/>
      <c r="Z16" s="123" t="s">
        <v>53</v>
      </c>
      <c r="AA16" s="104"/>
      <c r="AB16" s="104"/>
      <c r="AC16" s="105"/>
      <c r="AD16" s="103" t="s">
        <v>9</v>
      </c>
      <c r="AE16" s="104"/>
      <c r="AF16" s="104"/>
      <c r="AG16" s="105"/>
      <c r="AH16" s="140" t="s">
        <v>10</v>
      </c>
      <c r="AI16" s="104"/>
      <c r="AJ16" s="104"/>
      <c r="AK16" s="105"/>
      <c r="AL16" s="121" t="s">
        <v>54</v>
      </c>
      <c r="AM16" s="129" t="s">
        <v>55</v>
      </c>
      <c r="AN16" s="79"/>
      <c r="AO16" s="100"/>
      <c r="AP16" s="103" t="s">
        <v>56</v>
      </c>
      <c r="AQ16" s="104"/>
      <c r="AR16" s="104"/>
      <c r="AS16" s="105"/>
      <c r="AT16" s="103" t="s">
        <v>57</v>
      </c>
      <c r="AU16" s="104"/>
      <c r="AV16" s="104"/>
      <c r="AW16" s="105"/>
      <c r="AX16" s="103" t="s">
        <v>58</v>
      </c>
      <c r="AY16" s="104"/>
      <c r="AZ16" s="104"/>
      <c r="BA16" s="105"/>
      <c r="BB16" s="103" t="s">
        <v>59</v>
      </c>
      <c r="BC16" s="104"/>
      <c r="BD16" s="104"/>
      <c r="BE16" s="105"/>
      <c r="BF16" s="116" t="s">
        <v>60</v>
      </c>
      <c r="BG16" s="104"/>
      <c r="BH16" s="104"/>
      <c r="BI16" s="105"/>
      <c r="BJ16" s="116" t="s">
        <v>61</v>
      </c>
      <c r="BK16" s="104"/>
      <c r="BL16" s="104"/>
      <c r="BM16" s="105"/>
      <c r="BN16" s="95"/>
      <c r="BO16" s="138" t="s">
        <v>103</v>
      </c>
      <c r="BP16" s="104"/>
      <c r="BQ16" s="104"/>
      <c r="BR16" s="105"/>
      <c r="BS16" s="139"/>
      <c r="BT16" s="104"/>
      <c r="BU16" s="104"/>
      <c r="BV16" s="105"/>
      <c r="BW16" s="128" t="s">
        <v>104</v>
      </c>
      <c r="BX16" s="104"/>
      <c r="BY16" s="104"/>
      <c r="BZ16" s="105"/>
      <c r="CA16" s="139"/>
      <c r="CB16" s="104"/>
      <c r="CC16" s="104"/>
      <c r="CD16" s="105"/>
    </row>
    <row r="17" spans="1:82" s="11" customFormat="1" ht="11.25" customHeight="1" x14ac:dyDescent="0.35">
      <c r="A17" s="142"/>
      <c r="B17" s="57" t="s">
        <v>13</v>
      </c>
      <c r="C17" s="48" t="s">
        <v>27</v>
      </c>
      <c r="D17" s="49">
        <v>6</v>
      </c>
      <c r="E17" s="50" t="s">
        <v>14</v>
      </c>
      <c r="F17" s="58" t="s">
        <v>62</v>
      </c>
      <c r="G17" s="59"/>
      <c r="H17" s="60">
        <v>6</v>
      </c>
      <c r="I17" s="61" t="s">
        <v>14</v>
      </c>
      <c r="J17" s="57" t="s">
        <v>13</v>
      </c>
      <c r="K17" s="48" t="s">
        <v>15</v>
      </c>
      <c r="L17" s="49">
        <v>6</v>
      </c>
      <c r="M17" s="50" t="s">
        <v>14</v>
      </c>
      <c r="N17" s="57" t="s">
        <v>13</v>
      </c>
      <c r="O17" s="48" t="s">
        <v>15</v>
      </c>
      <c r="P17" s="49">
        <v>6</v>
      </c>
      <c r="Q17" s="50" t="s">
        <v>14</v>
      </c>
      <c r="R17" s="57" t="s">
        <v>13</v>
      </c>
      <c r="S17" s="48" t="s">
        <v>15</v>
      </c>
      <c r="T17" s="49">
        <v>6</v>
      </c>
      <c r="U17" s="50" t="s">
        <v>14</v>
      </c>
      <c r="V17" s="57" t="s">
        <v>13</v>
      </c>
      <c r="W17" s="48" t="s">
        <v>15</v>
      </c>
      <c r="X17" s="49">
        <v>6</v>
      </c>
      <c r="Y17" s="50" t="s">
        <v>14</v>
      </c>
      <c r="Z17" s="62" t="s">
        <v>13</v>
      </c>
      <c r="AA17" s="63" t="s">
        <v>27</v>
      </c>
      <c r="AB17" s="64">
        <v>6</v>
      </c>
      <c r="AC17" s="65" t="s">
        <v>14</v>
      </c>
      <c r="AD17" s="34" t="s">
        <v>17</v>
      </c>
      <c r="AE17" s="35"/>
      <c r="AF17" s="36">
        <v>6</v>
      </c>
      <c r="AG17" s="37" t="s">
        <v>14</v>
      </c>
      <c r="AH17" s="32"/>
      <c r="AI17" s="32"/>
      <c r="AJ17" s="32"/>
      <c r="AK17" s="33"/>
      <c r="AL17" s="119"/>
      <c r="AM17" s="130"/>
      <c r="AN17" s="10">
        <f>D17+H17+L17+P17+T17+X17+AB17+AF17+AL17</f>
        <v>48</v>
      </c>
      <c r="AO17" s="101"/>
      <c r="AP17" s="34" t="s">
        <v>19</v>
      </c>
      <c r="AQ17" s="35" t="s">
        <v>15</v>
      </c>
      <c r="AR17" s="36">
        <v>6</v>
      </c>
      <c r="AS17" s="37" t="s">
        <v>14</v>
      </c>
      <c r="AT17" s="34" t="s">
        <v>19</v>
      </c>
      <c r="AU17" s="35" t="s">
        <v>27</v>
      </c>
      <c r="AV17" s="36">
        <v>6</v>
      </c>
      <c r="AW17" s="37" t="s">
        <v>14</v>
      </c>
      <c r="AX17" s="34" t="s">
        <v>19</v>
      </c>
      <c r="AY17" s="35" t="s">
        <v>16</v>
      </c>
      <c r="AZ17" s="36">
        <v>6</v>
      </c>
      <c r="BA17" s="37" t="s">
        <v>14</v>
      </c>
      <c r="BB17" s="34" t="s">
        <v>19</v>
      </c>
      <c r="BC17" s="35" t="s">
        <v>15</v>
      </c>
      <c r="BD17" s="36">
        <v>6</v>
      </c>
      <c r="BE17" s="37" t="s">
        <v>14</v>
      </c>
      <c r="BF17" s="27" t="s">
        <v>19</v>
      </c>
      <c r="BG17" s="28" t="s">
        <v>15</v>
      </c>
      <c r="BH17" s="29">
        <v>6</v>
      </c>
      <c r="BI17" s="30" t="s">
        <v>14</v>
      </c>
      <c r="BJ17" s="27" t="s">
        <v>19</v>
      </c>
      <c r="BK17" s="28" t="s">
        <v>15</v>
      </c>
      <c r="BL17" s="29">
        <v>6</v>
      </c>
      <c r="BM17" s="30" t="s">
        <v>14</v>
      </c>
      <c r="BN17" s="54"/>
      <c r="BO17" s="66" t="s">
        <v>62</v>
      </c>
      <c r="BP17" s="67"/>
      <c r="BQ17" s="68">
        <v>6</v>
      </c>
      <c r="BR17" s="69" t="s">
        <v>14</v>
      </c>
      <c r="BS17" s="70"/>
      <c r="BT17" s="70"/>
      <c r="BU17" s="71"/>
      <c r="BV17" s="72"/>
      <c r="BW17" s="58" t="s">
        <v>62</v>
      </c>
      <c r="BX17" s="60"/>
      <c r="BY17" s="60">
        <v>6</v>
      </c>
      <c r="BZ17" s="73" t="s">
        <v>14</v>
      </c>
      <c r="CA17" s="70"/>
      <c r="CB17" s="70"/>
      <c r="CC17" s="71"/>
      <c r="CD17" s="72"/>
    </row>
    <row r="18" spans="1:82" s="80" customFormat="1" ht="81" customHeight="1" x14ac:dyDescent="0.45">
      <c r="A18" s="142"/>
      <c r="B18" s="96"/>
      <c r="C18" s="96"/>
      <c r="D18" s="96"/>
      <c r="E18" s="96"/>
      <c r="F18" s="128" t="s">
        <v>48</v>
      </c>
      <c r="G18" s="104"/>
      <c r="H18" s="104"/>
      <c r="I18" s="105"/>
      <c r="J18" s="123" t="s">
        <v>63</v>
      </c>
      <c r="K18" s="104"/>
      <c r="L18" s="104"/>
      <c r="M18" s="105"/>
      <c r="N18" s="123" t="s">
        <v>64</v>
      </c>
      <c r="O18" s="104"/>
      <c r="P18" s="104"/>
      <c r="Q18" s="105"/>
      <c r="R18" s="123" t="s">
        <v>94</v>
      </c>
      <c r="S18" s="104"/>
      <c r="T18" s="104"/>
      <c r="U18" s="105"/>
      <c r="V18" s="123" t="s">
        <v>65</v>
      </c>
      <c r="W18" s="104"/>
      <c r="X18" s="104"/>
      <c r="Y18" s="105"/>
      <c r="Z18" s="103" t="s">
        <v>9</v>
      </c>
      <c r="AA18" s="104"/>
      <c r="AB18" s="104"/>
      <c r="AC18" s="105"/>
      <c r="AD18" s="103" t="s">
        <v>9</v>
      </c>
      <c r="AE18" s="104"/>
      <c r="AF18" s="104"/>
      <c r="AG18" s="105"/>
      <c r="AH18" s="124" t="s">
        <v>10</v>
      </c>
      <c r="AI18" s="104"/>
      <c r="AJ18" s="104"/>
      <c r="AK18" s="105"/>
      <c r="AL18" s="120"/>
      <c r="AM18" s="130"/>
      <c r="AN18" s="79"/>
      <c r="AO18" s="100"/>
      <c r="AP18" s="103" t="s">
        <v>66</v>
      </c>
      <c r="AQ18" s="104"/>
      <c r="AR18" s="104"/>
      <c r="AS18" s="105"/>
      <c r="AT18" s="103" t="s">
        <v>67</v>
      </c>
      <c r="AU18" s="104"/>
      <c r="AV18" s="104"/>
      <c r="AW18" s="105"/>
      <c r="AX18" s="103" t="s">
        <v>68</v>
      </c>
      <c r="AY18" s="104"/>
      <c r="AZ18" s="104"/>
      <c r="BA18" s="105"/>
      <c r="BB18" s="103" t="s">
        <v>69</v>
      </c>
      <c r="BC18" s="104"/>
      <c r="BD18" s="104"/>
      <c r="BE18" s="105"/>
      <c r="BF18" s="116" t="s">
        <v>70</v>
      </c>
      <c r="BG18" s="104"/>
      <c r="BH18" s="104"/>
      <c r="BI18" s="105"/>
      <c r="BJ18" s="116" t="s">
        <v>71</v>
      </c>
      <c r="BK18" s="104"/>
      <c r="BL18" s="104"/>
      <c r="BM18" s="105"/>
      <c r="BN18" s="95"/>
      <c r="BO18" s="138" t="s">
        <v>102</v>
      </c>
      <c r="BP18" s="104"/>
      <c r="BQ18" s="104"/>
      <c r="BR18" s="105"/>
      <c r="BS18" s="139"/>
      <c r="BT18" s="104"/>
      <c r="BU18" s="104"/>
      <c r="BV18" s="105"/>
      <c r="BW18" s="128" t="s">
        <v>105</v>
      </c>
      <c r="BX18" s="104"/>
      <c r="BY18" s="104"/>
      <c r="BZ18" s="105"/>
      <c r="CA18" s="139"/>
      <c r="CB18" s="104"/>
      <c r="CC18" s="104"/>
      <c r="CD18" s="105"/>
    </row>
    <row r="19" spans="1:82" s="11" customFormat="1" ht="11.25" customHeight="1" x14ac:dyDescent="0.35">
      <c r="A19" s="143"/>
      <c r="B19" s="74"/>
      <c r="C19" s="74"/>
      <c r="D19" s="74"/>
      <c r="E19" s="74"/>
      <c r="F19" s="58" t="s">
        <v>62</v>
      </c>
      <c r="G19" s="59"/>
      <c r="H19" s="60">
        <v>6</v>
      </c>
      <c r="I19" s="61" t="s">
        <v>14</v>
      </c>
      <c r="J19" s="57" t="s">
        <v>13</v>
      </c>
      <c r="K19" s="48" t="s">
        <v>16</v>
      </c>
      <c r="L19" s="49">
        <v>8</v>
      </c>
      <c r="M19" s="50" t="s">
        <v>14</v>
      </c>
      <c r="N19" s="57" t="s">
        <v>13</v>
      </c>
      <c r="O19" s="48" t="s">
        <v>15</v>
      </c>
      <c r="P19" s="49">
        <v>6</v>
      </c>
      <c r="Q19" s="50" t="s">
        <v>14</v>
      </c>
      <c r="R19" s="57" t="s">
        <v>13</v>
      </c>
      <c r="S19" s="48" t="s">
        <v>15</v>
      </c>
      <c r="T19" s="49">
        <v>8</v>
      </c>
      <c r="U19" s="50" t="s">
        <v>14</v>
      </c>
      <c r="V19" s="19" t="s">
        <v>19</v>
      </c>
      <c r="W19" s="20" t="s">
        <v>15</v>
      </c>
      <c r="X19" s="21">
        <v>6</v>
      </c>
      <c r="Y19" s="22" t="s">
        <v>14</v>
      </c>
      <c r="Z19" s="34" t="s">
        <v>17</v>
      </c>
      <c r="AA19" s="35"/>
      <c r="AB19" s="36">
        <v>6</v>
      </c>
      <c r="AC19" s="37" t="s">
        <v>14</v>
      </c>
      <c r="AD19" s="34" t="s">
        <v>17</v>
      </c>
      <c r="AE19" s="35"/>
      <c r="AF19" s="36">
        <v>6</v>
      </c>
      <c r="AG19" s="37" t="s">
        <v>14</v>
      </c>
      <c r="AH19" s="31"/>
      <c r="AI19" s="32"/>
      <c r="AJ19" s="32"/>
      <c r="AK19" s="33"/>
      <c r="AL19" s="98">
        <v>10</v>
      </c>
      <c r="AM19" s="130"/>
      <c r="AN19" s="10">
        <f>D19+H19+L19+P19+T19+X19+AB19+AF19+AL19</f>
        <v>56</v>
      </c>
      <c r="AO19" s="101"/>
      <c r="AP19" s="34" t="s">
        <v>19</v>
      </c>
      <c r="AQ19" s="35" t="s">
        <v>15</v>
      </c>
      <c r="AR19" s="36">
        <v>6</v>
      </c>
      <c r="AS19" s="37" t="s">
        <v>14</v>
      </c>
      <c r="AT19" s="34" t="s">
        <v>13</v>
      </c>
      <c r="AU19" s="35" t="s">
        <v>16</v>
      </c>
      <c r="AV19" s="36">
        <v>6</v>
      </c>
      <c r="AW19" s="37" t="s">
        <v>14</v>
      </c>
      <c r="AX19" s="34" t="s">
        <v>19</v>
      </c>
      <c r="AY19" s="35" t="s">
        <v>16</v>
      </c>
      <c r="AZ19" s="36">
        <v>6</v>
      </c>
      <c r="BA19" s="37" t="s">
        <v>14</v>
      </c>
      <c r="BB19" s="34" t="s">
        <v>19</v>
      </c>
      <c r="BC19" s="35" t="s">
        <v>15</v>
      </c>
      <c r="BD19" s="36">
        <v>6</v>
      </c>
      <c r="BE19" s="37" t="s">
        <v>14</v>
      </c>
      <c r="BF19" s="27" t="s">
        <v>19</v>
      </c>
      <c r="BG19" s="28" t="s">
        <v>15</v>
      </c>
      <c r="BH19" s="29">
        <v>6</v>
      </c>
      <c r="BI19" s="30" t="s">
        <v>14</v>
      </c>
      <c r="BJ19" s="27" t="s">
        <v>19</v>
      </c>
      <c r="BK19" s="28" t="s">
        <v>15</v>
      </c>
      <c r="BL19" s="29">
        <v>6</v>
      </c>
      <c r="BM19" s="30" t="s">
        <v>14</v>
      </c>
      <c r="BN19" s="54"/>
      <c r="BO19" s="66" t="s">
        <v>62</v>
      </c>
      <c r="BP19" s="67"/>
      <c r="BQ19" s="68">
        <v>6</v>
      </c>
      <c r="BR19" s="69" t="s">
        <v>14</v>
      </c>
      <c r="BS19" s="70"/>
      <c r="BT19" s="70"/>
      <c r="BU19" s="71"/>
      <c r="BV19" s="72"/>
      <c r="BW19" s="58" t="s">
        <v>62</v>
      </c>
      <c r="BX19" s="60"/>
      <c r="BY19" s="60">
        <v>6</v>
      </c>
      <c r="BZ19" s="73" t="s">
        <v>14</v>
      </c>
      <c r="CA19" s="70"/>
      <c r="CB19" s="70"/>
      <c r="CC19" s="71"/>
      <c r="CD19" s="72"/>
    </row>
    <row r="20" spans="1:82" s="80" customFormat="1" ht="81" customHeight="1" x14ac:dyDescent="0.45">
      <c r="A20" s="141" t="s">
        <v>72</v>
      </c>
      <c r="B20" s="128" t="s">
        <v>48</v>
      </c>
      <c r="C20" s="104"/>
      <c r="D20" s="104"/>
      <c r="E20" s="105"/>
      <c r="F20" s="123" t="s">
        <v>73</v>
      </c>
      <c r="G20" s="104"/>
      <c r="H20" s="104"/>
      <c r="I20" s="105"/>
      <c r="J20" s="123" t="s">
        <v>92</v>
      </c>
      <c r="K20" s="104"/>
      <c r="L20" s="104"/>
      <c r="M20" s="105"/>
      <c r="N20" s="123" t="s">
        <v>74</v>
      </c>
      <c r="O20" s="104"/>
      <c r="P20" s="104"/>
      <c r="Q20" s="105"/>
      <c r="R20" s="123" t="s">
        <v>75</v>
      </c>
      <c r="S20" s="104"/>
      <c r="T20" s="104"/>
      <c r="U20" s="105"/>
      <c r="V20" s="123" t="s">
        <v>76</v>
      </c>
      <c r="W20" s="104"/>
      <c r="X20" s="104"/>
      <c r="Y20" s="105"/>
      <c r="Z20" s="103" t="s">
        <v>9</v>
      </c>
      <c r="AA20" s="104"/>
      <c r="AB20" s="104"/>
      <c r="AC20" s="105"/>
      <c r="AD20" s="103" t="s">
        <v>9</v>
      </c>
      <c r="AE20" s="104"/>
      <c r="AF20" s="104"/>
      <c r="AG20" s="105"/>
      <c r="AH20" s="124"/>
      <c r="AI20" s="104"/>
      <c r="AJ20" s="104"/>
      <c r="AK20" s="105"/>
      <c r="AL20" s="121" t="s">
        <v>77</v>
      </c>
      <c r="AM20" s="130"/>
      <c r="AN20" s="79"/>
      <c r="AO20" s="100"/>
      <c r="AP20" s="103" t="s">
        <v>78</v>
      </c>
      <c r="AQ20" s="104"/>
      <c r="AR20" s="104"/>
      <c r="AS20" s="105"/>
      <c r="AT20" s="103" t="s">
        <v>79</v>
      </c>
      <c r="AU20" s="104"/>
      <c r="AV20" s="104"/>
      <c r="AW20" s="105"/>
      <c r="AX20" s="103" t="s">
        <v>80</v>
      </c>
      <c r="AY20" s="104"/>
      <c r="AZ20" s="104"/>
      <c r="BA20" s="105"/>
      <c r="BB20" s="116" t="s">
        <v>81</v>
      </c>
      <c r="BC20" s="104"/>
      <c r="BD20" s="104"/>
      <c r="BE20" s="105"/>
      <c r="BF20" s="116" t="s">
        <v>82</v>
      </c>
      <c r="BG20" s="104"/>
      <c r="BH20" s="104"/>
      <c r="BI20" s="105"/>
      <c r="BJ20" s="116" t="s">
        <v>83</v>
      </c>
      <c r="BK20" s="104"/>
      <c r="BL20" s="104"/>
      <c r="BM20" s="105"/>
      <c r="BN20" s="95"/>
      <c r="BO20" s="138" t="s">
        <v>101</v>
      </c>
      <c r="BP20" s="104"/>
      <c r="BQ20" s="104"/>
      <c r="BR20" s="105"/>
      <c r="BS20" s="139"/>
      <c r="BT20" s="104"/>
      <c r="BU20" s="104"/>
      <c r="BV20" s="105"/>
      <c r="BW20" s="128" t="s">
        <v>106</v>
      </c>
      <c r="BX20" s="104"/>
      <c r="BY20" s="104"/>
      <c r="BZ20" s="105"/>
      <c r="CA20" s="139"/>
      <c r="CB20" s="104"/>
      <c r="CC20" s="104"/>
      <c r="CD20" s="105"/>
    </row>
    <row r="21" spans="1:82" s="11" customFormat="1" ht="11.25" customHeight="1" x14ac:dyDescent="0.35">
      <c r="A21" s="142"/>
      <c r="B21" s="58" t="s">
        <v>62</v>
      </c>
      <c r="C21" s="59"/>
      <c r="D21" s="60">
        <v>6</v>
      </c>
      <c r="E21" s="61" t="s">
        <v>14</v>
      </c>
      <c r="F21" s="57" t="s">
        <v>13</v>
      </c>
      <c r="G21" s="48" t="s">
        <v>15</v>
      </c>
      <c r="H21" s="49">
        <v>8</v>
      </c>
      <c r="I21" s="50" t="s">
        <v>14</v>
      </c>
      <c r="J21" s="57" t="s">
        <v>13</v>
      </c>
      <c r="K21" s="48" t="s">
        <v>15</v>
      </c>
      <c r="L21" s="49">
        <v>6</v>
      </c>
      <c r="M21" s="50" t="s">
        <v>14</v>
      </c>
      <c r="N21" s="57" t="s">
        <v>13</v>
      </c>
      <c r="O21" s="48" t="s">
        <v>15</v>
      </c>
      <c r="P21" s="49">
        <v>6</v>
      </c>
      <c r="Q21" s="50" t="s">
        <v>14</v>
      </c>
      <c r="R21" s="57" t="s">
        <v>13</v>
      </c>
      <c r="S21" s="48" t="s">
        <v>15</v>
      </c>
      <c r="T21" s="49">
        <v>8</v>
      </c>
      <c r="U21" s="50" t="s">
        <v>14</v>
      </c>
      <c r="V21" s="57" t="s">
        <v>13</v>
      </c>
      <c r="W21" s="48" t="s">
        <v>15</v>
      </c>
      <c r="X21" s="49">
        <v>6</v>
      </c>
      <c r="Y21" s="50" t="s">
        <v>14</v>
      </c>
      <c r="Z21" s="34" t="s">
        <v>17</v>
      </c>
      <c r="AA21" s="35"/>
      <c r="AB21" s="36">
        <v>6</v>
      </c>
      <c r="AC21" s="37" t="s">
        <v>14</v>
      </c>
      <c r="AD21" s="34" t="s">
        <v>17</v>
      </c>
      <c r="AE21" s="35"/>
      <c r="AF21" s="36">
        <v>6</v>
      </c>
      <c r="AG21" s="37" t="s">
        <v>14</v>
      </c>
      <c r="AH21" s="31"/>
      <c r="AI21" s="32"/>
      <c r="AJ21" s="32"/>
      <c r="AK21" s="33"/>
      <c r="AL21" s="119"/>
      <c r="AM21" s="130"/>
      <c r="AN21" s="10">
        <f t="shared" ref="AN21:AN23" si="0">D21+H21+L21+P21+T21+X21+AB21+AF21+AL21</f>
        <v>52</v>
      </c>
      <c r="AO21" s="101"/>
      <c r="AP21" s="34" t="s">
        <v>19</v>
      </c>
      <c r="AQ21" s="35" t="s">
        <v>27</v>
      </c>
      <c r="AR21" s="36">
        <v>8</v>
      </c>
      <c r="AS21" s="37" t="s">
        <v>14</v>
      </c>
      <c r="AT21" s="34" t="s">
        <v>19</v>
      </c>
      <c r="AU21" s="35" t="s">
        <v>15</v>
      </c>
      <c r="AV21" s="36">
        <v>6</v>
      </c>
      <c r="AW21" s="37" t="s">
        <v>14</v>
      </c>
      <c r="AX21" s="34" t="s">
        <v>19</v>
      </c>
      <c r="AY21" s="35" t="s">
        <v>15</v>
      </c>
      <c r="AZ21" s="36">
        <v>6</v>
      </c>
      <c r="BA21" s="37" t="s">
        <v>14</v>
      </c>
      <c r="BB21" s="34" t="s">
        <v>19</v>
      </c>
      <c r="BC21" s="35" t="s">
        <v>15</v>
      </c>
      <c r="BD21" s="36">
        <v>6</v>
      </c>
      <c r="BE21" s="37" t="s">
        <v>14</v>
      </c>
      <c r="BF21" s="27" t="s">
        <v>19</v>
      </c>
      <c r="BG21" s="28" t="s">
        <v>15</v>
      </c>
      <c r="BH21" s="29">
        <v>6</v>
      </c>
      <c r="BI21" s="30" t="s">
        <v>14</v>
      </c>
      <c r="BJ21" s="27" t="s">
        <v>19</v>
      </c>
      <c r="BK21" s="28" t="s">
        <v>16</v>
      </c>
      <c r="BL21" s="29">
        <v>6</v>
      </c>
      <c r="BM21" s="30" t="s">
        <v>14</v>
      </c>
      <c r="BN21" s="54"/>
      <c r="BO21" s="66" t="s">
        <v>62</v>
      </c>
      <c r="BP21" s="67"/>
      <c r="BQ21" s="68">
        <v>6</v>
      </c>
      <c r="BR21" s="69" t="s">
        <v>14</v>
      </c>
      <c r="BS21" s="70"/>
      <c r="BT21" s="70"/>
      <c r="BU21" s="71"/>
      <c r="BV21" s="72"/>
      <c r="BW21" s="58" t="s">
        <v>62</v>
      </c>
      <c r="BX21" s="60"/>
      <c r="BY21" s="60">
        <v>6</v>
      </c>
      <c r="BZ21" s="73" t="s">
        <v>14</v>
      </c>
      <c r="CA21" s="70"/>
      <c r="CB21" s="70"/>
      <c r="CC21" s="71"/>
      <c r="CD21" s="72"/>
    </row>
    <row r="22" spans="1:82" s="80" customFormat="1" ht="81" customHeight="1" x14ac:dyDescent="0.45">
      <c r="A22" s="142"/>
      <c r="B22" s="122" t="s">
        <v>48</v>
      </c>
      <c r="C22" s="104"/>
      <c r="D22" s="104"/>
      <c r="E22" s="105"/>
      <c r="F22" s="122" t="s">
        <v>48</v>
      </c>
      <c r="G22" s="104"/>
      <c r="H22" s="104"/>
      <c r="I22" s="105"/>
      <c r="J22" s="123" t="s">
        <v>84</v>
      </c>
      <c r="K22" s="104"/>
      <c r="L22" s="104"/>
      <c r="M22" s="105"/>
      <c r="N22" s="123" t="s">
        <v>85</v>
      </c>
      <c r="O22" s="104"/>
      <c r="P22" s="104"/>
      <c r="Q22" s="105"/>
      <c r="R22" s="123" t="s">
        <v>86</v>
      </c>
      <c r="S22" s="104"/>
      <c r="T22" s="104"/>
      <c r="U22" s="105"/>
      <c r="V22" s="103" t="s">
        <v>9</v>
      </c>
      <c r="W22" s="104"/>
      <c r="X22" s="104"/>
      <c r="Y22" s="105"/>
      <c r="Z22" s="103" t="s">
        <v>9</v>
      </c>
      <c r="AA22" s="104"/>
      <c r="AB22" s="104"/>
      <c r="AC22" s="105"/>
      <c r="AD22" s="103" t="s">
        <v>9</v>
      </c>
      <c r="AE22" s="104"/>
      <c r="AF22" s="104"/>
      <c r="AG22" s="105"/>
      <c r="AH22" s="124"/>
      <c r="AI22" s="104"/>
      <c r="AJ22" s="104"/>
      <c r="AK22" s="105"/>
      <c r="AL22" s="120"/>
      <c r="AM22" s="130"/>
      <c r="AN22" s="79"/>
      <c r="AO22" s="100"/>
      <c r="AP22" s="103" t="s">
        <v>87</v>
      </c>
      <c r="AQ22" s="104"/>
      <c r="AR22" s="104"/>
      <c r="AS22" s="105"/>
      <c r="AT22" s="103" t="s">
        <v>98</v>
      </c>
      <c r="AU22" s="104"/>
      <c r="AV22" s="104"/>
      <c r="AW22" s="105"/>
      <c r="AX22" s="103" t="s">
        <v>88</v>
      </c>
      <c r="AY22" s="104"/>
      <c r="AZ22" s="104"/>
      <c r="BA22" s="105"/>
      <c r="BB22" s="103" t="s">
        <v>89</v>
      </c>
      <c r="BC22" s="104"/>
      <c r="BD22" s="104"/>
      <c r="BE22" s="105"/>
      <c r="BF22" s="116" t="s">
        <v>90</v>
      </c>
      <c r="BG22" s="104"/>
      <c r="BH22" s="104"/>
      <c r="BI22" s="105"/>
      <c r="BJ22" s="116" t="s">
        <v>99</v>
      </c>
      <c r="BK22" s="104"/>
      <c r="BL22" s="104"/>
      <c r="BM22" s="105"/>
      <c r="BN22" s="95"/>
      <c r="BO22" s="138" t="s">
        <v>100</v>
      </c>
      <c r="BP22" s="104"/>
      <c r="BQ22" s="104"/>
      <c r="BR22" s="105"/>
      <c r="BS22" s="138" t="s">
        <v>91</v>
      </c>
      <c r="BT22" s="104"/>
      <c r="BU22" s="104"/>
      <c r="BV22" s="105"/>
      <c r="BW22" s="128" t="s">
        <v>107</v>
      </c>
      <c r="BX22" s="104"/>
      <c r="BY22" s="104"/>
      <c r="BZ22" s="105"/>
      <c r="CA22" s="128" t="s">
        <v>108</v>
      </c>
      <c r="CB22" s="104"/>
      <c r="CC22" s="104"/>
      <c r="CD22" s="105"/>
    </row>
    <row r="23" spans="1:82" s="11" customFormat="1" ht="11.25" customHeight="1" x14ac:dyDescent="0.35">
      <c r="A23" s="143"/>
      <c r="B23" s="59" t="s">
        <v>62</v>
      </c>
      <c r="C23" s="59"/>
      <c r="D23" s="60">
        <v>6</v>
      </c>
      <c r="E23" s="61" t="s">
        <v>14</v>
      </c>
      <c r="F23" s="59" t="s">
        <v>62</v>
      </c>
      <c r="G23" s="59"/>
      <c r="H23" s="60">
        <v>6</v>
      </c>
      <c r="I23" s="61" t="s">
        <v>14</v>
      </c>
      <c r="J23" s="57" t="s">
        <v>13</v>
      </c>
      <c r="K23" s="48" t="s">
        <v>15</v>
      </c>
      <c r="L23" s="49">
        <v>6</v>
      </c>
      <c r="M23" s="50" t="s">
        <v>14</v>
      </c>
      <c r="N23" s="57" t="s">
        <v>13</v>
      </c>
      <c r="O23" s="48" t="s">
        <v>15</v>
      </c>
      <c r="P23" s="49">
        <v>8</v>
      </c>
      <c r="Q23" s="50" t="s">
        <v>14</v>
      </c>
      <c r="R23" s="57" t="s">
        <v>13</v>
      </c>
      <c r="S23" s="48" t="s">
        <v>15</v>
      </c>
      <c r="T23" s="49">
        <v>6</v>
      </c>
      <c r="U23" s="50" t="s">
        <v>14</v>
      </c>
      <c r="V23" s="34" t="s">
        <v>17</v>
      </c>
      <c r="W23" s="35"/>
      <c r="X23" s="36">
        <v>6</v>
      </c>
      <c r="Y23" s="37" t="s">
        <v>14</v>
      </c>
      <c r="Z23" s="34" t="s">
        <v>17</v>
      </c>
      <c r="AA23" s="35"/>
      <c r="AB23" s="36">
        <v>6</v>
      </c>
      <c r="AC23" s="37" t="s">
        <v>14</v>
      </c>
      <c r="AD23" s="34" t="s">
        <v>17</v>
      </c>
      <c r="AE23" s="35"/>
      <c r="AF23" s="36">
        <v>6</v>
      </c>
      <c r="AG23" s="37" t="s">
        <v>14</v>
      </c>
      <c r="AH23" s="31"/>
      <c r="AI23" s="32"/>
      <c r="AJ23" s="32"/>
      <c r="AK23" s="33"/>
      <c r="AL23" s="98">
        <v>10</v>
      </c>
      <c r="AM23" s="131"/>
      <c r="AN23" s="10">
        <f t="shared" si="0"/>
        <v>60</v>
      </c>
      <c r="AO23" s="101"/>
      <c r="AP23" s="34" t="s">
        <v>19</v>
      </c>
      <c r="AQ23" s="35" t="s">
        <v>15</v>
      </c>
      <c r="AR23" s="36">
        <v>6</v>
      </c>
      <c r="AS23" s="37" t="s">
        <v>14</v>
      </c>
      <c r="AT23" s="34" t="s">
        <v>19</v>
      </c>
      <c r="AU23" s="35" t="s">
        <v>15</v>
      </c>
      <c r="AV23" s="36">
        <v>6</v>
      </c>
      <c r="AW23" s="37" t="s">
        <v>14</v>
      </c>
      <c r="AX23" s="34" t="s">
        <v>19</v>
      </c>
      <c r="AY23" s="35" t="s">
        <v>15</v>
      </c>
      <c r="AZ23" s="36">
        <v>6</v>
      </c>
      <c r="BA23" s="37" t="s">
        <v>14</v>
      </c>
      <c r="BB23" s="34" t="s">
        <v>19</v>
      </c>
      <c r="BC23" s="35" t="s">
        <v>27</v>
      </c>
      <c r="BD23" s="36">
        <v>6</v>
      </c>
      <c r="BE23" s="37" t="s">
        <v>14</v>
      </c>
      <c r="BF23" s="34" t="s">
        <v>19</v>
      </c>
      <c r="BG23" s="35" t="s">
        <v>15</v>
      </c>
      <c r="BH23" s="36">
        <v>6</v>
      </c>
      <c r="BI23" s="37" t="s">
        <v>14</v>
      </c>
      <c r="BJ23" s="34" t="s">
        <v>19</v>
      </c>
      <c r="BK23" s="35" t="s">
        <v>15</v>
      </c>
      <c r="BL23" s="36">
        <v>6</v>
      </c>
      <c r="BM23" s="37" t="s">
        <v>14</v>
      </c>
      <c r="BN23" s="54"/>
      <c r="BO23" s="66" t="s">
        <v>62</v>
      </c>
      <c r="BP23" s="67"/>
      <c r="BQ23" s="68">
        <v>6</v>
      </c>
      <c r="BR23" s="69" t="s">
        <v>14</v>
      </c>
      <c r="BS23" s="66" t="s">
        <v>62</v>
      </c>
      <c r="BT23" s="67"/>
      <c r="BU23" s="68">
        <v>6</v>
      </c>
      <c r="BV23" s="69" t="s">
        <v>14</v>
      </c>
      <c r="BW23" s="58" t="s">
        <v>62</v>
      </c>
      <c r="BX23" s="60"/>
      <c r="BY23" s="60">
        <v>6</v>
      </c>
      <c r="BZ23" s="73" t="s">
        <v>14</v>
      </c>
      <c r="CA23" s="58" t="s">
        <v>62</v>
      </c>
      <c r="CB23" s="60"/>
      <c r="CC23" s="60">
        <v>6</v>
      </c>
      <c r="CD23" s="73" t="s">
        <v>14</v>
      </c>
    </row>
    <row r="24" spans="1:82" ht="11.25" customHeight="1" x14ac:dyDescent="0.35">
      <c r="A24" s="1"/>
      <c r="B24" s="4"/>
      <c r="C24" s="4"/>
      <c r="D24" s="4"/>
      <c r="E24" s="4"/>
      <c r="F24" s="4"/>
      <c r="G24" s="4"/>
      <c r="H24" s="4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9">
        <f>SUM(AN7:AN23)</f>
        <v>424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ht="7.5" customHeight="1" x14ac:dyDescent="0.35">
      <c r="A25" s="1"/>
      <c r="B25" s="4"/>
      <c r="C25" s="4"/>
      <c r="D25" s="4"/>
      <c r="E25" s="4"/>
      <c r="F25" s="4"/>
      <c r="G25" s="4"/>
      <c r="H25" s="4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ht="15" hidden="1" customHeight="1" x14ac:dyDescent="0.35"/>
    <row r="27" spans="1:82" ht="3" customHeight="1" x14ac:dyDescent="0.35"/>
  </sheetData>
  <mergeCells count="132">
    <mergeCell ref="A20:A23"/>
    <mergeCell ref="B20:E20"/>
    <mergeCell ref="F20:I20"/>
    <mergeCell ref="J20:M20"/>
    <mergeCell ref="N20:Q20"/>
    <mergeCell ref="R20:U20"/>
    <mergeCell ref="V20:Y20"/>
    <mergeCell ref="A4:CD4"/>
    <mergeCell ref="BS22:BV22"/>
    <mergeCell ref="BW22:BZ22"/>
    <mergeCell ref="BF20:BI20"/>
    <mergeCell ref="BJ20:BM20"/>
    <mergeCell ref="BO20:BR20"/>
    <mergeCell ref="BS20:BV20"/>
    <mergeCell ref="BW20:BZ20"/>
    <mergeCell ref="CA20:CD20"/>
    <mergeCell ref="BO22:BR22"/>
    <mergeCell ref="CA22:CD22"/>
    <mergeCell ref="BO18:BR18"/>
    <mergeCell ref="BS18:BV18"/>
    <mergeCell ref="BW18:BZ18"/>
    <mergeCell ref="CA18:CD18"/>
    <mergeCell ref="F18:I18"/>
    <mergeCell ref="J18:M18"/>
    <mergeCell ref="BB18:BE18"/>
    <mergeCell ref="A16:A19"/>
    <mergeCell ref="B16:E16"/>
    <mergeCell ref="N16:Q16"/>
    <mergeCell ref="R16:U16"/>
    <mergeCell ref="V16:Y16"/>
    <mergeCell ref="Z16:AC16"/>
    <mergeCell ref="AD16:AG16"/>
    <mergeCell ref="AD18:AG18"/>
    <mergeCell ref="A12:A15"/>
    <mergeCell ref="B12:E12"/>
    <mergeCell ref="F12:I12"/>
    <mergeCell ref="J12:M12"/>
    <mergeCell ref="F14:I14"/>
    <mergeCell ref="AH8:AK8"/>
    <mergeCell ref="AL8:AL10"/>
    <mergeCell ref="AM8:AM15"/>
    <mergeCell ref="AH10:AK10"/>
    <mergeCell ref="AH12:AK12"/>
    <mergeCell ref="AH14:AK14"/>
    <mergeCell ref="V10:Y10"/>
    <mergeCell ref="Z10:AC10"/>
    <mergeCell ref="AD10:AG10"/>
    <mergeCell ref="BO14:BV15"/>
    <mergeCell ref="BW14:CD15"/>
    <mergeCell ref="BO16:BR16"/>
    <mergeCell ref="BS16:BV16"/>
    <mergeCell ref="BW16:BZ16"/>
    <mergeCell ref="CA16:CD16"/>
    <mergeCell ref="J14:M14"/>
    <mergeCell ref="N14:Q14"/>
    <mergeCell ref="R14:U14"/>
    <mergeCell ref="V14:Y14"/>
    <mergeCell ref="Z14:AC14"/>
    <mergeCell ref="AD14:AG14"/>
    <mergeCell ref="AP14:AS14"/>
    <mergeCell ref="J16:M16"/>
    <mergeCell ref="AH16:AK16"/>
    <mergeCell ref="BJ16:BM16"/>
    <mergeCell ref="AP16:AS16"/>
    <mergeCell ref="AT16:AW16"/>
    <mergeCell ref="AX16:BA16"/>
    <mergeCell ref="B22:E22"/>
    <mergeCell ref="F22:I22"/>
    <mergeCell ref="R22:U22"/>
    <mergeCell ref="V22:Y22"/>
    <mergeCell ref="Z22:AC22"/>
    <mergeCell ref="AD22:AG22"/>
    <mergeCell ref="AH22:AK22"/>
    <mergeCell ref="AT14:AW14"/>
    <mergeCell ref="BF14:BI14"/>
    <mergeCell ref="F16:I16"/>
    <mergeCell ref="Z20:AC20"/>
    <mergeCell ref="AD20:AG20"/>
    <mergeCell ref="AH20:AK20"/>
    <mergeCell ref="AP20:AS20"/>
    <mergeCell ref="AT20:AW20"/>
    <mergeCell ref="AX20:BA20"/>
    <mergeCell ref="BB20:BE20"/>
    <mergeCell ref="J22:M22"/>
    <mergeCell ref="N22:Q22"/>
    <mergeCell ref="AM16:AM23"/>
    <mergeCell ref="AL20:AL22"/>
    <mergeCell ref="BB16:BE16"/>
    <mergeCell ref="BF16:BI16"/>
    <mergeCell ref="AP22:AS22"/>
    <mergeCell ref="AT22:AW22"/>
    <mergeCell ref="AX22:BA22"/>
    <mergeCell ref="BB22:BE22"/>
    <mergeCell ref="BF22:BI22"/>
    <mergeCell ref="BJ22:BM22"/>
    <mergeCell ref="BJ18:BM18"/>
    <mergeCell ref="N12:Q12"/>
    <mergeCell ref="R12:U12"/>
    <mergeCell ref="V12:Y12"/>
    <mergeCell ref="Z12:AC12"/>
    <mergeCell ref="AD12:AG12"/>
    <mergeCell ref="AL12:AL14"/>
    <mergeCell ref="AL16:AL18"/>
    <mergeCell ref="BF18:BI18"/>
    <mergeCell ref="AP12:AS12"/>
    <mergeCell ref="AT12:AW12"/>
    <mergeCell ref="N18:Q18"/>
    <mergeCell ref="R18:U18"/>
    <mergeCell ref="V18:Y18"/>
    <mergeCell ref="Z18:AC18"/>
    <mergeCell ref="AH18:AK18"/>
    <mergeCell ref="AP18:AS18"/>
    <mergeCell ref="AT18:AW18"/>
    <mergeCell ref="AX18:BA18"/>
    <mergeCell ref="AP10:AS10"/>
    <mergeCell ref="B1:AL1"/>
    <mergeCell ref="AP7:BM7"/>
    <mergeCell ref="A8:A11"/>
    <mergeCell ref="F8:I8"/>
    <mergeCell ref="J8:M8"/>
    <mergeCell ref="N8:Q8"/>
    <mergeCell ref="AT10:AW10"/>
    <mergeCell ref="R8:U8"/>
    <mergeCell ref="V8:Y8"/>
    <mergeCell ref="Z8:AC8"/>
    <mergeCell ref="AD8:AG8"/>
    <mergeCell ref="N10:Q10"/>
    <mergeCell ref="R10:U10"/>
    <mergeCell ref="F10:I10"/>
    <mergeCell ref="J10:M10"/>
    <mergeCell ref="AP8:AS8"/>
    <mergeCell ref="AT8:AW8"/>
  </mergeCells>
  <pageMargins left="0.25" right="0.25" top="0.75" bottom="0.75" header="0" footer="0"/>
  <pageSetup paperSize="3" scale="4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IDEIO2020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David Jauregui</cp:lastModifiedBy>
  <cp:lastPrinted>2026-02-26T21:06:48Z</cp:lastPrinted>
  <dcterms:created xsi:type="dcterms:W3CDTF">2006-04-21T12:19:03Z</dcterms:created>
  <dcterms:modified xsi:type="dcterms:W3CDTF">2026-03-12T17:31:12Z</dcterms:modified>
</cp:coreProperties>
</file>